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3"/>
  </bookViews>
  <sheets>
    <sheet name="coverage_language" sheetId="1" r:id="rId1"/>
    <sheet name="coverage_lang_diff" sheetId="2" r:id="rId2"/>
    <sheet name="rate_by_language" sheetId="3" r:id="rId3"/>
    <sheet name="rate_by_lang_diff" sheetId="4" r:id="rId4"/>
    <sheet name="paper_language_core" sheetId="5" r:id="rId5"/>
    <sheet name="paper_langdiff_core" sheetId="6" r:id="rId6"/>
    <sheet name="transition_by_language" sheetId="7" r:id="rId7"/>
    <sheet name="improve_decomp_by_lang" sheetId="8" r:id="rId8"/>
    <sheet name="micro_macro_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<sst xmlns="http://schemas.openxmlformats.org/spreadsheetml/2006/main" count="1649" uniqueCount="151">
  <si>
    <t>language</t>
  </si>
  <si>
    <t>n</t>
  </si>
  <si>
    <t>c</t>
  </si>
  <si>
    <t>cpp</t>
  </si>
  <si>
    <t>java</t>
  </si>
  <si>
    <t>javascript</t>
  </si>
  <si>
    <t>python</t>
  </si>
  <si>
    <t>difficulty</t>
  </si>
  <si>
    <t>Easy</t>
  </si>
  <si>
    <t>Hard</t>
  </si>
  <si>
    <t>Medium</t>
  </si>
  <si>
    <t>group</t>
  </si>
  <si>
    <t>status</t>
  </si>
  <si>
    <t>nokb_rate_pct</t>
  </si>
  <si>
    <t>kb_rate_pct</t>
  </si>
  <si>
    <t>diff_pct_point</t>
  </si>
  <si>
    <t>ci_low_pct_point</t>
  </si>
  <si>
    <t>ci_high_pct_point</t>
  </si>
  <si>
    <t>by_language</t>
  </si>
  <si>
    <t>acc</t>
  </si>
  <si>
    <t>ce</t>
  </si>
  <si>
    <t>wa</t>
  </si>
  <si>
    <t>re</t>
  </si>
  <si>
    <t>tle</t>
  </si>
  <si>
    <t>mle</t>
  </si>
  <si>
    <t>other</t>
  </si>
  <si>
    <t>kb_rate_pct-nokb_rate_pct</t>
  </si>
  <si>
    <t>by_language_difficulty</t>
  </si>
  <si>
    <t>ci_str</t>
  </si>
  <si>
    <t>[7.19, 9.76]</t>
  </si>
  <si>
    <t>[-3.71, -1.80]</t>
  </si>
  <si>
    <t>[-6.39, -3.64]</t>
  </si>
  <si>
    <t>[-1.57, 0.50]</t>
  </si>
  <si>
    <t>[-1.11, 0.42]</t>
  </si>
  <si>
    <t>[-0.11, 0.42]</t>
  </si>
  <si>
    <t>[4.90, 7.27]</t>
  </si>
  <si>
    <t>[-5.47, -3.37]</t>
  </si>
  <si>
    <t>[-2.56, -0.50]</t>
  </si>
  <si>
    <t>[-0.50, 0.61]</t>
  </si>
  <si>
    <t>[-0.80, 0.38]</t>
  </si>
  <si>
    <t>[-0.15, 0.23]</t>
  </si>
  <si>
    <t>[11.63, 14.54]</t>
  </si>
  <si>
    <t>[-17.45, -14.43]</t>
  </si>
  <si>
    <t>[1.00, 3.33]</t>
  </si>
  <si>
    <t>[-0.08, 0.88]</t>
  </si>
  <si>
    <t>[-0.19, 0.65]</t>
  </si>
  <si>
    <t>[0.00, 0.27]</t>
  </si>
  <si>
    <t>[0.84, 3.48]</t>
  </si>
  <si>
    <t>[0.00, 0.00]</t>
  </si>
  <si>
    <t>[-4.59, -1.68]</t>
  </si>
  <si>
    <t>[0.76, 2.68]</t>
  </si>
  <si>
    <t>[-1.49, 0.00]</t>
  </si>
  <si>
    <t>[2.83, 5.74]</t>
  </si>
  <si>
    <t>[-4.36, -1.22]</t>
  </si>
  <si>
    <t>[-1.49, 0.19]</t>
  </si>
  <si>
    <t>[-1.84, -0.08]</t>
  </si>
  <si>
    <t>[-0.15, 0.38]</t>
  </si>
  <si>
    <t>[1.38, 4.74]</t>
  </si>
  <si>
    <t>[-1.22, -0.15]</t>
  </si>
  <si>
    <t>[-3.21, -0.31]</t>
  </si>
  <si>
    <t>[-1.99, 0.16]</t>
  </si>
  <si>
    <t>[0.00, 0.46]</t>
  </si>
  <si>
    <t>[6.87, 12.34]</t>
  </si>
  <si>
    <t>[-5.47, -0.47]</t>
  </si>
  <si>
    <t>[-9.84, -2.81]</t>
  </si>
  <si>
    <t>[-2.66, 2.50]</t>
  </si>
  <si>
    <t>[-3.12, 0.78]</t>
  </si>
  <si>
    <t>[0.16, 1.88]</t>
  </si>
  <si>
    <t>[8.79, 12.66]</t>
  </si>
  <si>
    <t>[-5.08, -2.43]</t>
  </si>
  <si>
    <t>[-8.11, -4.02]</t>
  </si>
  <si>
    <t>[-2.05, 0.91]</t>
  </si>
  <si>
    <t>[-1.44, 0.91]</t>
  </si>
  <si>
    <t>[-0.53, 0.23]</t>
  </si>
  <si>
    <t>[-0.31, 3.06]</t>
  </si>
  <si>
    <t>[-2.45, 0.15]</t>
  </si>
  <si>
    <t>[-1.07, 1.07]</t>
  </si>
  <si>
    <t>[-0.76, 0.00]</t>
  </si>
  <si>
    <t>[4.06, 9.06]</t>
  </si>
  <si>
    <t>[-4.53, 0.16]</t>
  </si>
  <si>
    <t>[-5.00, 0.78]</t>
  </si>
  <si>
    <t>[-2.34, 1.09]</t>
  </si>
  <si>
    <t>[-3.44, 0.47]</t>
  </si>
  <si>
    <t>[-0.79, 0.47]</t>
  </si>
  <si>
    <t>[6.37, 10.08]</t>
  </si>
  <si>
    <t>[-8.72, -5.53]</t>
  </si>
  <si>
    <t>[-3.41, -0.60]</t>
  </si>
  <si>
    <t>[-0.23, 1.21]</t>
  </si>
  <si>
    <t>[-0.45, 0.91]</t>
  </si>
  <si>
    <t>[0.00, 0.38]</t>
  </si>
  <si>
    <t>[4.74, 9.02]</t>
  </si>
  <si>
    <t>[-9.48, -5.50]</t>
  </si>
  <si>
    <t>[-0.61, 1.68]</t>
  </si>
  <si>
    <t>[-0.31, 0.61]</t>
  </si>
  <si>
    <t>[10.00, 15.94]</t>
  </si>
  <si>
    <t>[-27.19, -19.38]</t>
  </si>
  <si>
    <t>[5.47, 11.88]</t>
  </si>
  <si>
    <t>[-0.78, 2.19]</t>
  </si>
  <si>
    <t>[-0.78, 2.03]</t>
  </si>
  <si>
    <t>[0.00, 0.78]</t>
  </si>
  <si>
    <t>[14.18, 18.42]</t>
  </si>
  <si>
    <t>[-18.80, -14.40]</t>
  </si>
  <si>
    <t>[-1.74, 1.36]</t>
  </si>
  <si>
    <t>[-0.15, 0.99]</t>
  </si>
  <si>
    <t>[-0.45, 0.76]</t>
  </si>
  <si>
    <t>[0.00, 0.23]</t>
  </si>
  <si>
    <t>[-0.15, 2.60]</t>
  </si>
  <si>
    <t>[-1.99, 0.46]</t>
  </si>
  <si>
    <t>[4.22, 10.78]</t>
  </si>
  <si>
    <t>[-13.28, -5.31]</t>
  </si>
  <si>
    <t>[0.94, 7.19]</t>
  </si>
  <si>
    <t>[-1.74, 1.90]</t>
  </si>
  <si>
    <t>[-3.26, 0.68]</t>
  </si>
  <si>
    <t>[0.53, 3.11]</t>
  </si>
  <si>
    <t>[-1.52, 0.45]</t>
  </si>
  <si>
    <t>[-0.46, 3.52]</t>
  </si>
  <si>
    <t>[-2.60, 1.22]</t>
  </si>
  <si>
    <t>[-1.99, -0.31]</t>
  </si>
  <si>
    <t>[-7.66, 0.00]</t>
  </si>
  <si>
    <t>[-2.03, 6.72]</t>
  </si>
  <si>
    <t>[0.47, 5.62]</t>
  </si>
  <si>
    <t>[-4.22, 1.09]</t>
  </si>
  <si>
    <t>[-0.78, 1.09]</t>
  </si>
  <si>
    <t>[7.43, 11.60]</t>
  </si>
  <si>
    <t>[-8.42, -4.25]</t>
  </si>
  <si>
    <t>[-3.11, -1.14]</t>
  </si>
  <si>
    <t>[-2.28, -0.15]</t>
  </si>
  <si>
    <t>[-0.08, 0.45]</t>
  </si>
  <si>
    <t>nokb_b</t>
  </si>
  <si>
    <t>kb_b</t>
  </si>
  <si>
    <t>count</t>
  </si>
  <si>
    <t>pct</t>
  </si>
  <si>
    <t>nokb_acc</t>
  </si>
  <si>
    <t>kb_acc</t>
  </si>
  <si>
    <t>net_acc_gain_count</t>
  </si>
  <si>
    <t>net_acc_gain_pct_point</t>
  </si>
  <si>
    <t>improved_to_acc_count</t>
  </si>
  <si>
    <t>worsened_from_acc_count</t>
  </si>
  <si>
    <t>unchanged_count</t>
  </si>
  <si>
    <t>ce-&gt;acc</t>
  </si>
  <si>
    <t>wa-&gt;acc</t>
  </si>
  <si>
    <t>re-&gt;acc</t>
  </si>
  <si>
    <t>tle-&gt;acc</t>
  </si>
  <si>
    <t>mle-&gt;acc</t>
  </si>
  <si>
    <t>other-&gt;acc</t>
  </si>
  <si>
    <t>aggregate</t>
  </si>
  <si>
    <t>n_total</t>
  </si>
  <si>
    <t>n_lang</t>
  </si>
  <si>
    <t>micro_weighted</t>
  </si>
  <si>
    <t/>
  </si>
  <si>
    <t>macro_unweighted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</si>
</sst>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" outlineLevelRow="5" outlineLevelCol="1"/>
  <cols>
    <col min="1" max="1" width="11.81818181818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2613</v>
      </c>
    </row>
    <row r="3" spans="1:2">
      <c r="A3" t="s">
        <v>3</v>
      </c>
      <c r="B3">
        <v>2613</v>
      </c>
    </row>
    <row r="4" spans="1:2">
      <c r="A4" t="s">
        <v>4</v>
      </c>
      <c r="B4">
        <v>2613</v>
      </c>
    </row>
    <row r="5" spans="1:2">
      <c r="A5" t="s">
        <v>5</v>
      </c>
      <c r="B5">
        <v>2613</v>
      </c>
    </row>
    <row r="6" spans="1:2">
      <c r="A6" t="s">
        <v>6</v>
      </c>
      <c r="B6">
        <v>2613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4" outlineLevelCol="2"/>
  <cols>
    <col min="1" max="1" width="11.8181818181818" customWidth="1"/>
    <col min="2" max="2" width="12.8181818181818" customWidth="1"/>
  </cols>
  <sheetData>
    <row r="1" spans="1:3">
      <c r="A1" s="1" t="s">
        <v>0</v>
      </c>
      <c r="B1" s="1" t="s">
        <v>7</v>
      </c>
      <c r="C1" s="1" t="s">
        <v>1</v>
      </c>
    </row>
    <row r="2" spans="1:3">
      <c r="A2" t="s">
        <v>2</v>
      </c>
      <c r="B2" t="s">
        <v>8</v>
      </c>
      <c r="C2">
        <v>654</v>
      </c>
    </row>
    <row r="3" spans="1:3">
      <c r="A3" t="s">
        <v>2</v>
      </c>
      <c r="B3" t="s">
        <v>9</v>
      </c>
      <c r="C3">
        <v>640</v>
      </c>
    </row>
    <row r="4" spans="1:3">
      <c r="A4" t="s">
        <v>2</v>
      </c>
      <c r="B4" t="s">
        <v>10</v>
      </c>
      <c r="C4">
        <v>1319</v>
      </c>
    </row>
    <row r="5" spans="1:3">
      <c r="A5" t="s">
        <v>3</v>
      </c>
      <c r="B5" t="s">
        <v>8</v>
      </c>
      <c r="C5">
        <v>654</v>
      </c>
    </row>
    <row r="6" spans="1:3">
      <c r="A6" t="s">
        <v>3</v>
      </c>
      <c r="B6" t="s">
        <v>9</v>
      </c>
      <c r="C6">
        <v>640</v>
      </c>
    </row>
    <row r="7" spans="1:3">
      <c r="A7" t="s">
        <v>3</v>
      </c>
      <c r="B7" t="s">
        <v>10</v>
      </c>
      <c r="C7">
        <v>1319</v>
      </c>
    </row>
    <row r="8" spans="1:3">
      <c r="A8" t="s">
        <v>4</v>
      </c>
      <c r="B8" t="s">
        <v>8</v>
      </c>
      <c r="C8">
        <v>654</v>
      </c>
    </row>
    <row r="9" spans="1:3">
      <c r="A9" t="s">
        <v>4</v>
      </c>
      <c r="B9" t="s">
        <v>9</v>
      </c>
      <c r="C9">
        <v>640</v>
      </c>
    </row>
    <row r="10" spans="1:3">
      <c r="A10" t="s">
        <v>4</v>
      </c>
      <c r="B10" t="s">
        <v>10</v>
      </c>
      <c r="C10">
        <v>1319</v>
      </c>
    </row>
    <row r="11" spans="1:3">
      <c r="A11" t="s">
        <v>5</v>
      </c>
      <c r="B11" t="s">
        <v>8</v>
      </c>
      <c r="C11">
        <v>654</v>
      </c>
    </row>
    <row r="12" spans="1:3">
      <c r="A12" t="s">
        <v>5</v>
      </c>
      <c r="B12" t="s">
        <v>9</v>
      </c>
      <c r="C12">
        <v>640</v>
      </c>
    </row>
    <row r="13" spans="1:3">
      <c r="A13" t="s">
        <v>5</v>
      </c>
      <c r="B13" t="s">
        <v>10</v>
      </c>
      <c r="C13">
        <v>1319</v>
      </c>
    </row>
    <row r="14" spans="1:3">
      <c r="A14" t="s">
        <v>6</v>
      </c>
      <c r="B14" t="s">
        <v>8</v>
      </c>
      <c r="C14">
        <v>654</v>
      </c>
    </row>
    <row r="15" spans="1:3">
      <c r="A15" t="s">
        <v>6</v>
      </c>
      <c r="B15" t="s">
        <v>9</v>
      </c>
      <c r="C15">
        <v>640</v>
      </c>
    </row>
    <row r="16" spans="1:3">
      <c r="A16" t="s">
        <v>6</v>
      </c>
      <c r="B16" t="s">
        <v>10</v>
      </c>
      <c r="C16">
        <v>1319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selection activeCell="L13" sqref="L13"/>
    </sheetView>
  </sheetViews>
  <sheetFormatPr defaultColWidth="9" defaultRowHeight="14"/>
  <cols>
    <col min="1" max="1" width="12.9090909090909" customWidth="1"/>
    <col min="5" max="5" width="16.4545454545455" customWidth="1"/>
    <col min="6" max="6" width="14" customWidth="1"/>
    <col min="7" max="7" width="17.7272727272727" customWidth="1"/>
    <col min="8" max="8" width="20.1818181818182" customWidth="1"/>
    <col min="9" max="9" width="21.3636363636364" customWidth="1"/>
  </cols>
  <sheetData>
    <row r="1" spans="1:9">
      <c r="A1" s="1" t="s">
        <v>11</v>
      </c>
      <c r="B1" s="1" t="s">
        <v>0</v>
      </c>
      <c r="C1" s="1" t="s">
        <v>12</v>
      </c>
      <c r="D1" s="1" t="s">
        <v>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t="s">
        <v>18</v>
      </c>
      <c r="B2" t="s">
        <v>2</v>
      </c>
      <c r="C2" t="s">
        <v>19</v>
      </c>
      <c r="D2">
        <v>2613</v>
      </c>
      <c r="E2">
        <v>60.7347876004592</v>
      </c>
      <c r="F2">
        <v>69.2307692307692</v>
      </c>
      <c r="G2">
        <v>8.49598163030999</v>
      </c>
      <c r="H2">
        <v>7.19479525449676</v>
      </c>
      <c r="I2">
        <v>9.75889781859932</v>
      </c>
    </row>
    <row r="3" spans="1:9">
      <c r="A3" t="s">
        <v>18</v>
      </c>
      <c r="B3" t="s">
        <v>2</v>
      </c>
      <c r="C3" t="s">
        <v>20</v>
      </c>
      <c r="D3">
        <v>2613</v>
      </c>
      <c r="E3">
        <v>5.70225794106391</v>
      </c>
      <c r="F3">
        <v>2.94680443934175</v>
      </c>
      <c r="G3">
        <v>-2.75545350172216</v>
      </c>
      <c r="H3">
        <v>-3.71220818982013</v>
      </c>
      <c r="I3">
        <v>-1.79774205893609</v>
      </c>
    </row>
    <row r="4" spans="1:9">
      <c r="A4" t="s">
        <v>18</v>
      </c>
      <c r="B4" t="s">
        <v>2</v>
      </c>
      <c r="C4" t="s">
        <v>21</v>
      </c>
      <c r="D4">
        <v>2613</v>
      </c>
      <c r="E4">
        <v>23.6509758897819</v>
      </c>
      <c r="F4">
        <v>18.6758515116724</v>
      </c>
      <c r="G4">
        <v>-4.97512437810945</v>
      </c>
      <c r="H4">
        <v>-6.39112131649445</v>
      </c>
      <c r="I4">
        <v>-3.63566781477229</v>
      </c>
    </row>
    <row r="5" spans="1:9">
      <c r="A5" t="s">
        <v>18</v>
      </c>
      <c r="B5" t="s">
        <v>2</v>
      </c>
      <c r="C5" t="s">
        <v>22</v>
      </c>
      <c r="D5">
        <v>2613</v>
      </c>
      <c r="E5">
        <v>6.23804056639878</v>
      </c>
      <c r="F5">
        <v>5.66398775353999</v>
      </c>
      <c r="G5">
        <v>-0.574052812858783</v>
      </c>
      <c r="H5">
        <v>-1.56907768848067</v>
      </c>
      <c r="I5">
        <v>0.497512437810944</v>
      </c>
    </row>
    <row r="6" spans="1:9">
      <c r="A6" t="s">
        <v>18</v>
      </c>
      <c r="B6" t="s">
        <v>2</v>
      </c>
      <c r="C6" t="s">
        <v>23</v>
      </c>
      <c r="D6">
        <v>2613</v>
      </c>
      <c r="E6">
        <v>3.36777650210486</v>
      </c>
      <c r="F6">
        <v>3.02334481438959</v>
      </c>
      <c r="G6">
        <v>-0.34443168771527</v>
      </c>
      <c r="H6">
        <v>-1.10983543819365</v>
      </c>
      <c r="I6">
        <v>0.420972062763107</v>
      </c>
    </row>
    <row r="7" spans="1:9">
      <c r="A7" t="s">
        <v>18</v>
      </c>
      <c r="B7" t="s">
        <v>2</v>
      </c>
      <c r="C7" t="s">
        <v>24</v>
      </c>
      <c r="D7">
        <v>2613</v>
      </c>
      <c r="E7">
        <v>0.306161500191351</v>
      </c>
      <c r="F7">
        <v>0.459242250287026</v>
      </c>
      <c r="G7">
        <v>0.153080750095676</v>
      </c>
      <c r="H7">
        <v>-0.114810562571757</v>
      </c>
      <c r="I7">
        <v>0.420972062763108</v>
      </c>
    </row>
    <row r="8" spans="1:9">
      <c r="A8" t="s">
        <v>18</v>
      </c>
      <c r="B8" t="s">
        <v>2</v>
      </c>
      <c r="C8" t="s">
        <v>25</v>
      </c>
      <c r="D8">
        <v>2613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18</v>
      </c>
      <c r="B9" t="s">
        <v>3</v>
      </c>
      <c r="C9" t="s">
        <v>19</v>
      </c>
      <c r="D9">
        <v>2613</v>
      </c>
      <c r="E9">
        <v>71.1060084194413</v>
      </c>
      <c r="F9">
        <v>77.1909682357443</v>
      </c>
      <c r="G9">
        <v>6.08495981630309</v>
      </c>
      <c r="H9">
        <v>4.89858400306161</v>
      </c>
      <c r="I9">
        <v>7.27133562954458</v>
      </c>
    </row>
    <row r="10" spans="1:9">
      <c r="A10" t="s">
        <v>18</v>
      </c>
      <c r="B10" t="s">
        <v>3</v>
      </c>
      <c r="C10" t="s">
        <v>20</v>
      </c>
      <c r="D10">
        <v>2613</v>
      </c>
      <c r="E10">
        <v>8.1132797550708</v>
      </c>
      <c r="F10">
        <v>3.71220818982013</v>
      </c>
      <c r="G10">
        <v>-4.40107156525067</v>
      </c>
      <c r="H10">
        <v>-5.4726368159204</v>
      </c>
      <c r="I10">
        <v>-3.36777650210486</v>
      </c>
    </row>
    <row r="11" spans="1:9">
      <c r="A11" t="s">
        <v>18</v>
      </c>
      <c r="B11" t="s">
        <v>3</v>
      </c>
      <c r="C11" t="s">
        <v>21</v>
      </c>
      <c r="D11">
        <v>2613</v>
      </c>
      <c r="E11">
        <v>16.9154228855721</v>
      </c>
      <c r="F11">
        <v>15.3846153846154</v>
      </c>
      <c r="G11">
        <v>-1.53080750095675</v>
      </c>
      <c r="H11">
        <v>-2.56410256410257</v>
      </c>
      <c r="I11">
        <v>-0.497512437810946</v>
      </c>
    </row>
    <row r="12" spans="1:9">
      <c r="A12" t="s">
        <v>18</v>
      </c>
      <c r="B12" t="s">
        <v>3</v>
      </c>
      <c r="C12" t="s">
        <v>22</v>
      </c>
      <c r="D12">
        <v>2613</v>
      </c>
      <c r="E12">
        <v>1.64561806352851</v>
      </c>
      <c r="F12">
        <v>1.68388825105243</v>
      </c>
      <c r="G12">
        <v>0.0382701875239189</v>
      </c>
      <c r="H12">
        <v>-0.497512437810945</v>
      </c>
      <c r="I12">
        <v>0.612323000382702</v>
      </c>
    </row>
    <row r="13" spans="1:9">
      <c r="A13" t="s">
        <v>18</v>
      </c>
      <c r="B13" t="s">
        <v>3</v>
      </c>
      <c r="C13" t="s">
        <v>23</v>
      </c>
      <c r="D13">
        <v>2613</v>
      </c>
      <c r="E13">
        <v>2.0283199387677</v>
      </c>
      <c r="F13">
        <v>1.79869881362419</v>
      </c>
      <c r="G13">
        <v>-0.229621125143513</v>
      </c>
      <c r="H13">
        <v>-0.803673938002296</v>
      </c>
      <c r="I13">
        <v>0.382701875239189</v>
      </c>
    </row>
    <row r="14" spans="1:9">
      <c r="A14" t="s">
        <v>18</v>
      </c>
      <c r="B14" t="s">
        <v>3</v>
      </c>
      <c r="C14" t="s">
        <v>24</v>
      </c>
      <c r="D14">
        <v>2613</v>
      </c>
      <c r="E14">
        <v>0.191350937619594</v>
      </c>
      <c r="F14">
        <v>0.229621125143513</v>
      </c>
      <c r="G14">
        <v>0.0382701875239189</v>
      </c>
      <c r="H14">
        <v>-0.153080750095676</v>
      </c>
      <c r="I14">
        <v>0.229621125143513</v>
      </c>
    </row>
    <row r="15" spans="1:9">
      <c r="A15" t="s">
        <v>18</v>
      </c>
      <c r="B15" t="s">
        <v>3</v>
      </c>
      <c r="C15" t="s">
        <v>25</v>
      </c>
      <c r="D15">
        <v>2613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18</v>
      </c>
      <c r="B16" t="s">
        <v>4</v>
      </c>
      <c r="C16" t="s">
        <v>19</v>
      </c>
      <c r="D16">
        <v>2613</v>
      </c>
      <c r="E16">
        <v>60.3138155376961</v>
      </c>
      <c r="F16">
        <v>73.4404898584003</v>
      </c>
      <c r="G16">
        <v>13.1266743207042</v>
      </c>
      <c r="H16">
        <v>11.6341370072713</v>
      </c>
      <c r="I16">
        <v>14.5426712590892</v>
      </c>
    </row>
    <row r="17" spans="1:9">
      <c r="A17" t="s">
        <v>18</v>
      </c>
      <c r="B17" t="s">
        <v>4</v>
      </c>
      <c r="C17" t="s">
        <v>20</v>
      </c>
      <c r="D17">
        <v>2613</v>
      </c>
      <c r="E17">
        <v>24.7990815154994</v>
      </c>
      <c r="F17">
        <v>8.80214313050134</v>
      </c>
      <c r="G17">
        <v>-15.9969383849981</v>
      </c>
      <c r="H17">
        <v>-17.451205510907</v>
      </c>
      <c r="I17">
        <v>-14.4269039418293</v>
      </c>
    </row>
    <row r="18" spans="1:9">
      <c r="A18" t="s">
        <v>18</v>
      </c>
      <c r="B18" t="s">
        <v>4</v>
      </c>
      <c r="C18" t="s">
        <v>21</v>
      </c>
      <c r="D18">
        <v>2613</v>
      </c>
      <c r="E18">
        <v>12.9735935706085</v>
      </c>
      <c r="F18">
        <v>15.1167240719479</v>
      </c>
      <c r="G18">
        <v>2.14313050133945</v>
      </c>
      <c r="H18">
        <v>0.995024875621889</v>
      </c>
      <c r="I18">
        <v>3.32950631458094</v>
      </c>
    </row>
    <row r="19" spans="1:9">
      <c r="A19" t="s">
        <v>18</v>
      </c>
      <c r="B19" t="s">
        <v>4</v>
      </c>
      <c r="C19" t="s">
        <v>22</v>
      </c>
      <c r="D19">
        <v>2613</v>
      </c>
      <c r="E19">
        <v>0.841944125526215</v>
      </c>
      <c r="F19">
        <v>1.2246460007654</v>
      </c>
      <c r="G19">
        <v>0.382701875239189</v>
      </c>
      <c r="H19">
        <v>-0.0765403750478378</v>
      </c>
      <c r="I19">
        <v>0.880214313050134</v>
      </c>
    </row>
    <row r="20" spans="1:9">
      <c r="A20" t="s">
        <v>18</v>
      </c>
      <c r="B20" t="s">
        <v>4</v>
      </c>
      <c r="C20" t="s">
        <v>23</v>
      </c>
      <c r="D20">
        <v>2613</v>
      </c>
      <c r="E20">
        <v>1.07156525066973</v>
      </c>
      <c r="F20">
        <v>1.30118637581324</v>
      </c>
      <c r="G20">
        <v>0.229621125143513</v>
      </c>
      <c r="H20">
        <v>-0.192307692307692</v>
      </c>
      <c r="I20">
        <v>0.650593187906621</v>
      </c>
    </row>
    <row r="21" spans="1:9">
      <c r="A21" t="s">
        <v>18</v>
      </c>
      <c r="B21" t="s">
        <v>4</v>
      </c>
      <c r="C21" t="s">
        <v>24</v>
      </c>
      <c r="D21">
        <v>2613</v>
      </c>
      <c r="E21">
        <v>0</v>
      </c>
      <c r="F21">
        <v>0.114810562571757</v>
      </c>
      <c r="G21">
        <v>0.114810562571757</v>
      </c>
      <c r="H21">
        <v>0</v>
      </c>
      <c r="I21">
        <v>0.267891312667432</v>
      </c>
    </row>
    <row r="22" spans="1:9">
      <c r="A22" t="s">
        <v>18</v>
      </c>
      <c r="B22" t="s">
        <v>4</v>
      </c>
      <c r="C22" t="s">
        <v>25</v>
      </c>
      <c r="D22">
        <v>2613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18</v>
      </c>
      <c r="B23" t="s">
        <v>5</v>
      </c>
      <c r="C23" t="s">
        <v>19</v>
      </c>
      <c r="D23">
        <v>2613</v>
      </c>
      <c r="E23">
        <v>69.2690394182932</v>
      </c>
      <c r="F23">
        <v>71.4121699196326</v>
      </c>
      <c r="G23">
        <v>2.14313050133945</v>
      </c>
      <c r="H23">
        <v>0.841944125526217</v>
      </c>
      <c r="I23">
        <v>3.48354381936472</v>
      </c>
    </row>
    <row r="24" spans="1:9">
      <c r="A24" t="s">
        <v>18</v>
      </c>
      <c r="B24" t="s">
        <v>5</v>
      </c>
      <c r="C24" t="s">
        <v>20</v>
      </c>
      <c r="D24">
        <v>2613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18</v>
      </c>
      <c r="B25" t="s">
        <v>5</v>
      </c>
      <c r="C25" t="s">
        <v>21</v>
      </c>
      <c r="D25">
        <v>2613</v>
      </c>
      <c r="E25">
        <v>22.4263298890165</v>
      </c>
      <c r="F25">
        <v>19.326444699579</v>
      </c>
      <c r="G25">
        <v>-3.09988518943743</v>
      </c>
      <c r="H25">
        <v>-4.59242250287027</v>
      </c>
      <c r="I25">
        <v>-1.68388825105243</v>
      </c>
    </row>
    <row r="26" spans="1:9">
      <c r="A26" t="s">
        <v>18</v>
      </c>
      <c r="B26" t="s">
        <v>5</v>
      </c>
      <c r="C26" t="s">
        <v>22</v>
      </c>
      <c r="D26">
        <v>2613</v>
      </c>
      <c r="E26">
        <v>4.63069269039418</v>
      </c>
      <c r="F26">
        <v>6.35285112897053</v>
      </c>
      <c r="G26">
        <v>1.72215843857635</v>
      </c>
      <c r="H26">
        <v>0.764446995790279</v>
      </c>
      <c r="I26">
        <v>2.67891312667432</v>
      </c>
    </row>
    <row r="27" spans="1:9">
      <c r="A27" t="s">
        <v>18</v>
      </c>
      <c r="B27" t="s">
        <v>5</v>
      </c>
      <c r="C27" t="s">
        <v>23</v>
      </c>
      <c r="D27">
        <v>2613</v>
      </c>
      <c r="E27">
        <v>3.67393800229621</v>
      </c>
      <c r="F27">
        <v>2.90853425181783</v>
      </c>
      <c r="G27">
        <v>-0.765403750478377</v>
      </c>
      <c r="H27">
        <v>-1.49253731343284</v>
      </c>
      <c r="I27">
        <v>0</v>
      </c>
    </row>
    <row r="28" spans="1:9">
      <c r="A28" t="s">
        <v>18</v>
      </c>
      <c r="B28" t="s">
        <v>5</v>
      </c>
      <c r="C28" t="s">
        <v>24</v>
      </c>
      <c r="D28">
        <v>2613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18</v>
      </c>
      <c r="B29" t="s">
        <v>5</v>
      </c>
      <c r="C29" t="s">
        <v>25</v>
      </c>
      <c r="D29">
        <v>2613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18</v>
      </c>
      <c r="B30" t="s">
        <v>6</v>
      </c>
      <c r="C30" t="s">
        <v>19</v>
      </c>
      <c r="D30">
        <v>2613</v>
      </c>
      <c r="E30">
        <v>73.3256792958286</v>
      </c>
      <c r="F30">
        <v>77.5736701109835</v>
      </c>
      <c r="G30">
        <v>4.24799081515499</v>
      </c>
      <c r="H30">
        <v>2.83199387676999</v>
      </c>
      <c r="I30">
        <v>5.74148488327592</v>
      </c>
    </row>
    <row r="31" spans="1:9">
      <c r="A31" t="s">
        <v>18</v>
      </c>
      <c r="B31" t="s">
        <v>6</v>
      </c>
      <c r="C31" t="s">
        <v>20</v>
      </c>
      <c r="D31">
        <v>2613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18</v>
      </c>
      <c r="B32" t="s">
        <v>6</v>
      </c>
      <c r="C32" t="s">
        <v>21</v>
      </c>
      <c r="D32">
        <v>2613</v>
      </c>
      <c r="E32">
        <v>20.0153080750096</v>
      </c>
      <c r="F32">
        <v>17.2215843857635</v>
      </c>
      <c r="G32">
        <v>-2.79372368924607</v>
      </c>
      <c r="H32">
        <v>-4.36280137772675</v>
      </c>
      <c r="I32">
        <v>-1.2246460007654</v>
      </c>
    </row>
    <row r="33" spans="1:9">
      <c r="A33" t="s">
        <v>18</v>
      </c>
      <c r="B33" t="s">
        <v>6</v>
      </c>
      <c r="C33" t="s">
        <v>22</v>
      </c>
      <c r="D33">
        <v>2613</v>
      </c>
      <c r="E33">
        <v>2.90853425181783</v>
      </c>
      <c r="F33">
        <v>2.29621125143513</v>
      </c>
      <c r="G33">
        <v>-0.612323000382702</v>
      </c>
      <c r="H33">
        <v>-1.49253731343284</v>
      </c>
      <c r="I33">
        <v>0.191350937619594</v>
      </c>
    </row>
    <row r="34" spans="1:9">
      <c r="A34" t="s">
        <v>18</v>
      </c>
      <c r="B34" t="s">
        <v>6</v>
      </c>
      <c r="C34" t="s">
        <v>23</v>
      </c>
      <c r="D34">
        <v>2613</v>
      </c>
      <c r="E34">
        <v>3.52085725220053</v>
      </c>
      <c r="F34">
        <v>2.56410256410256</v>
      </c>
      <c r="G34">
        <v>-0.956754688097972</v>
      </c>
      <c r="H34">
        <v>-1.83696900114811</v>
      </c>
      <c r="I34">
        <v>-0.0765403750478379</v>
      </c>
    </row>
    <row r="35" spans="1:9">
      <c r="A35" t="s">
        <v>18</v>
      </c>
      <c r="B35" t="s">
        <v>6</v>
      </c>
      <c r="C35" t="s">
        <v>24</v>
      </c>
      <c r="D35">
        <v>2613</v>
      </c>
      <c r="E35">
        <v>0.229621125143513</v>
      </c>
      <c r="F35">
        <v>0.34443168771527</v>
      </c>
      <c r="G35">
        <v>0.114810562571757</v>
      </c>
      <c r="H35">
        <v>-0.153080750095676</v>
      </c>
      <c r="I35">
        <v>0.382701875239189</v>
      </c>
    </row>
    <row r="36" spans="1:9">
      <c r="A36" t="s">
        <v>18</v>
      </c>
      <c r="B36" t="s">
        <v>6</v>
      </c>
      <c r="C36" t="s">
        <v>25</v>
      </c>
      <c r="D36">
        <v>2613</v>
      </c>
      <c r="E36">
        <v>0</v>
      </c>
      <c r="F36">
        <v>0</v>
      </c>
      <c r="G36">
        <v>0</v>
      </c>
      <c r="H36">
        <v>0</v>
      </c>
      <c r="I36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6"/>
  <sheetViews>
    <sheetView tabSelected="1" workbookViewId="0">
      <selection activeCell="L9" sqref="L9"/>
    </sheetView>
  </sheetViews>
  <sheetFormatPr defaultColWidth="9" defaultRowHeight="14"/>
  <cols>
    <col min="1" max="1" width="25.2727272727273" customWidth="1"/>
    <col min="3" max="3" width="12.8181818181818" customWidth="1"/>
    <col min="6" max="6" width="16.4545454545455" customWidth="1"/>
    <col min="7" max="7" width="14" customWidth="1"/>
    <col min="8" max="8" width="17.7272727272727" customWidth="1"/>
    <col min="9" max="9" width="20.1818181818182" customWidth="1"/>
    <col min="10" max="10" width="21.3636363636364" customWidth="1"/>
    <col min="12" max="12" width="28.6363636363636" customWidth="1"/>
  </cols>
  <sheetData>
    <row r="1" spans="1:12">
      <c r="A1" s="1" t="s">
        <v>11</v>
      </c>
      <c r="B1" s="1" t="s">
        <v>0</v>
      </c>
      <c r="C1" s="1" t="s">
        <v>7</v>
      </c>
      <c r="D1" s="1" t="s">
        <v>12</v>
      </c>
      <c r="E1" s="1" t="s">
        <v>1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L1" s="2" t="s">
        <v>26</v>
      </c>
    </row>
    <row r="2" spans="1:12">
      <c r="A2" t="s">
        <v>27</v>
      </c>
      <c r="B2" t="s">
        <v>2</v>
      </c>
      <c r="C2" t="s">
        <v>8</v>
      </c>
      <c r="D2" t="s">
        <v>19</v>
      </c>
      <c r="E2">
        <v>654</v>
      </c>
      <c r="F2">
        <v>88.2262996941896</v>
      </c>
      <c r="G2">
        <v>91.2844036697248</v>
      </c>
      <c r="H2">
        <v>3.05810397553516</v>
      </c>
      <c r="I2">
        <v>1.37614678899083</v>
      </c>
      <c r="J2">
        <v>4.74006116207951</v>
      </c>
      <c r="L2">
        <f>G2-F2</f>
        <v>3.05810397553519</v>
      </c>
    </row>
    <row r="3" spans="1:12">
      <c r="A3" t="s">
        <v>27</v>
      </c>
      <c r="B3" t="s">
        <v>2</v>
      </c>
      <c r="C3" t="s">
        <v>8</v>
      </c>
      <c r="D3" t="s">
        <v>20</v>
      </c>
      <c r="E3">
        <v>654</v>
      </c>
      <c r="F3">
        <v>0.917431192660551</v>
      </c>
      <c r="G3">
        <v>0.305810397553517</v>
      </c>
      <c r="H3">
        <v>-0.611620795107034</v>
      </c>
      <c r="I3">
        <v>-1.22324159021407</v>
      </c>
      <c r="J3">
        <v>-0.152905198776758</v>
      </c>
      <c r="L3">
        <f t="shared" ref="L3:L34" si="0">G3-F3</f>
        <v>-0.611620795107034</v>
      </c>
    </row>
    <row r="4" spans="1:12">
      <c r="A4" t="s">
        <v>27</v>
      </c>
      <c r="B4" t="s">
        <v>2</v>
      </c>
      <c r="C4" t="s">
        <v>8</v>
      </c>
      <c r="D4" t="s">
        <v>21</v>
      </c>
      <c r="E4">
        <v>654</v>
      </c>
      <c r="F4">
        <v>7.64525993883792</v>
      </c>
      <c r="G4">
        <v>5.96330275229358</v>
      </c>
      <c r="H4">
        <v>-1.68195718654434</v>
      </c>
      <c r="I4">
        <v>-3.21100917431193</v>
      </c>
      <c r="J4">
        <v>-0.305810397553516</v>
      </c>
      <c r="L4">
        <f t="shared" si="0"/>
        <v>-1.68195718654434</v>
      </c>
    </row>
    <row r="5" spans="1:12">
      <c r="A5" t="s">
        <v>27</v>
      </c>
      <c r="B5" t="s">
        <v>2</v>
      </c>
      <c r="C5" t="s">
        <v>8</v>
      </c>
      <c r="D5" t="s">
        <v>22</v>
      </c>
      <c r="E5">
        <v>654</v>
      </c>
      <c r="F5">
        <v>3.05810397553517</v>
      </c>
      <c r="G5">
        <v>2.14067278287462</v>
      </c>
      <c r="H5">
        <v>-0.917431192660551</v>
      </c>
      <c r="I5">
        <v>-1.98776758409786</v>
      </c>
      <c r="J5">
        <v>0.156727828746157</v>
      </c>
      <c r="L5">
        <f t="shared" si="0"/>
        <v>-0.91743119266055</v>
      </c>
    </row>
    <row r="6" spans="1:12">
      <c r="A6" t="s">
        <v>27</v>
      </c>
      <c r="B6" t="s">
        <v>2</v>
      </c>
      <c r="C6" t="s">
        <v>8</v>
      </c>
      <c r="D6" t="s">
        <v>23</v>
      </c>
      <c r="E6">
        <v>654</v>
      </c>
      <c r="F6">
        <v>0</v>
      </c>
      <c r="G6">
        <v>0.152905198776758</v>
      </c>
      <c r="H6">
        <v>0.152905198776758</v>
      </c>
      <c r="I6">
        <v>0</v>
      </c>
      <c r="J6">
        <v>0.458715596330275</v>
      </c>
      <c r="L6">
        <f t="shared" si="0"/>
        <v>0.152905198776758</v>
      </c>
    </row>
    <row r="7" spans="1:12">
      <c r="A7" t="s">
        <v>27</v>
      </c>
      <c r="B7" t="s">
        <v>2</v>
      </c>
      <c r="C7" t="s">
        <v>8</v>
      </c>
      <c r="D7" t="s">
        <v>24</v>
      </c>
      <c r="E7">
        <v>654</v>
      </c>
      <c r="F7">
        <v>0.152905198776758</v>
      </c>
      <c r="G7">
        <v>0.152905198776758</v>
      </c>
      <c r="H7">
        <v>0</v>
      </c>
      <c r="I7">
        <v>0</v>
      </c>
      <c r="J7">
        <v>0</v>
      </c>
      <c r="L7">
        <f t="shared" si="0"/>
        <v>0</v>
      </c>
    </row>
    <row r="8" spans="1:12">
      <c r="A8" t="s">
        <v>27</v>
      </c>
      <c r="B8" t="s">
        <v>2</v>
      </c>
      <c r="C8" t="s">
        <v>8</v>
      </c>
      <c r="D8" t="s">
        <v>25</v>
      </c>
      <c r="E8">
        <v>654</v>
      </c>
      <c r="F8">
        <v>0</v>
      </c>
      <c r="G8">
        <v>0</v>
      </c>
      <c r="H8">
        <v>0</v>
      </c>
      <c r="I8">
        <v>0</v>
      </c>
      <c r="J8">
        <v>0</v>
      </c>
      <c r="L8">
        <f t="shared" si="0"/>
        <v>0</v>
      </c>
    </row>
    <row r="9" spans="1:12">
      <c r="A9" t="s">
        <v>27</v>
      </c>
      <c r="B9" t="s">
        <v>2</v>
      </c>
      <c r="C9" t="s">
        <v>9</v>
      </c>
      <c r="D9" t="s">
        <v>19</v>
      </c>
      <c r="E9">
        <v>640</v>
      </c>
      <c r="F9">
        <v>34.84375</v>
      </c>
      <c r="G9">
        <v>44.375</v>
      </c>
      <c r="H9">
        <v>9.53125</v>
      </c>
      <c r="I9">
        <v>6.875</v>
      </c>
      <c r="J9">
        <v>12.34375</v>
      </c>
      <c r="L9">
        <f t="shared" si="0"/>
        <v>9.53125</v>
      </c>
    </row>
    <row r="10" spans="1:12">
      <c r="A10" t="s">
        <v>27</v>
      </c>
      <c r="B10" t="s">
        <v>2</v>
      </c>
      <c r="C10" t="s">
        <v>9</v>
      </c>
      <c r="D10" t="s">
        <v>20</v>
      </c>
      <c r="E10">
        <v>640</v>
      </c>
      <c r="F10">
        <v>10.46875</v>
      </c>
      <c r="G10">
        <v>7.5</v>
      </c>
      <c r="H10">
        <v>-2.96875</v>
      </c>
      <c r="I10">
        <v>-5.46875</v>
      </c>
      <c r="J10">
        <v>-0.46875</v>
      </c>
      <c r="L10">
        <f t="shared" si="0"/>
        <v>-2.96875</v>
      </c>
    </row>
    <row r="11" spans="1:12">
      <c r="A11" t="s">
        <v>27</v>
      </c>
      <c r="B11" t="s">
        <v>2</v>
      </c>
      <c r="C11" t="s">
        <v>9</v>
      </c>
      <c r="D11" t="s">
        <v>21</v>
      </c>
      <c r="E11">
        <v>640</v>
      </c>
      <c r="F11">
        <v>40.78125</v>
      </c>
      <c r="G11">
        <v>34.53125</v>
      </c>
      <c r="H11">
        <v>-6.25</v>
      </c>
      <c r="I11">
        <v>-9.84375</v>
      </c>
      <c r="J11">
        <v>-2.8125</v>
      </c>
      <c r="L11">
        <f t="shared" si="0"/>
        <v>-6.25</v>
      </c>
    </row>
    <row r="12" spans="1:12">
      <c r="A12" t="s">
        <v>27</v>
      </c>
      <c r="B12" t="s">
        <v>2</v>
      </c>
      <c r="C12" t="s">
        <v>9</v>
      </c>
      <c r="D12" t="s">
        <v>22</v>
      </c>
      <c r="E12">
        <v>640</v>
      </c>
      <c r="F12">
        <v>8.125</v>
      </c>
      <c r="G12">
        <v>7.96875</v>
      </c>
      <c r="H12">
        <v>-0.156250000000001</v>
      </c>
      <c r="I12">
        <v>-2.66015625</v>
      </c>
      <c r="J12">
        <v>2.5</v>
      </c>
      <c r="L12">
        <f t="shared" si="0"/>
        <v>-0.15625</v>
      </c>
    </row>
    <row r="13" spans="1:12">
      <c r="A13" t="s">
        <v>27</v>
      </c>
      <c r="B13" t="s">
        <v>2</v>
      </c>
      <c r="C13" t="s">
        <v>9</v>
      </c>
      <c r="D13" t="s">
        <v>23</v>
      </c>
      <c r="E13">
        <v>640</v>
      </c>
      <c r="F13">
        <v>5.625</v>
      </c>
      <c r="G13">
        <v>4.53125</v>
      </c>
      <c r="H13">
        <v>-1.09375</v>
      </c>
      <c r="I13">
        <v>-3.125</v>
      </c>
      <c r="J13">
        <v>0.78125</v>
      </c>
      <c r="L13">
        <f t="shared" si="0"/>
        <v>-1.09375</v>
      </c>
    </row>
    <row r="14" spans="1:12">
      <c r="A14" t="s">
        <v>27</v>
      </c>
      <c r="B14" t="s">
        <v>2</v>
      </c>
      <c r="C14" t="s">
        <v>9</v>
      </c>
      <c r="D14" t="s">
        <v>24</v>
      </c>
      <c r="E14">
        <v>640</v>
      </c>
      <c r="F14">
        <v>0.15625</v>
      </c>
      <c r="G14">
        <v>1.09375</v>
      </c>
      <c r="H14">
        <v>0.9375</v>
      </c>
      <c r="I14">
        <v>0.15625</v>
      </c>
      <c r="J14">
        <v>1.875</v>
      </c>
      <c r="L14">
        <f t="shared" si="0"/>
        <v>0.9375</v>
      </c>
    </row>
    <row r="15" spans="1:12">
      <c r="A15" t="s">
        <v>27</v>
      </c>
      <c r="B15" t="s">
        <v>2</v>
      </c>
      <c r="C15" t="s">
        <v>9</v>
      </c>
      <c r="D15" t="s">
        <v>25</v>
      </c>
      <c r="E15">
        <v>640</v>
      </c>
      <c r="F15">
        <v>0</v>
      </c>
      <c r="G15">
        <v>0</v>
      </c>
      <c r="H15">
        <v>0</v>
      </c>
      <c r="I15">
        <v>0</v>
      </c>
      <c r="J15">
        <v>0</v>
      </c>
      <c r="L15">
        <f t="shared" si="0"/>
        <v>0</v>
      </c>
    </row>
    <row r="16" spans="1:12">
      <c r="A16" t="s">
        <v>27</v>
      </c>
      <c r="B16" t="s">
        <v>2</v>
      </c>
      <c r="C16" t="s">
        <v>10</v>
      </c>
      <c r="D16" t="s">
        <v>19</v>
      </c>
      <c r="E16">
        <v>1319</v>
      </c>
      <c r="F16">
        <v>59.6664139499621</v>
      </c>
      <c r="G16">
        <v>70.3563305534496</v>
      </c>
      <c r="H16">
        <v>10.6899166034875</v>
      </c>
      <c r="I16">
        <v>8.79454131918119</v>
      </c>
      <c r="J16">
        <v>12.661106899166</v>
      </c>
      <c r="L16">
        <f t="shared" si="0"/>
        <v>10.6899166034875</v>
      </c>
    </row>
    <row r="17" spans="1:12">
      <c r="A17" t="s">
        <v>27</v>
      </c>
      <c r="B17" t="s">
        <v>2</v>
      </c>
      <c r="C17" t="s">
        <v>10</v>
      </c>
      <c r="D17" t="s">
        <v>20</v>
      </c>
      <c r="E17">
        <v>1319</v>
      </c>
      <c r="F17">
        <v>5.76194086429113</v>
      </c>
      <c r="G17">
        <v>2.0470053070508</v>
      </c>
      <c r="H17">
        <v>-3.71493555724033</v>
      </c>
      <c r="I17">
        <v>-5.07960576194086</v>
      </c>
      <c r="J17">
        <v>-2.42608036391205</v>
      </c>
      <c r="L17">
        <f t="shared" si="0"/>
        <v>-3.71493555724033</v>
      </c>
    </row>
    <row r="18" spans="1:12">
      <c r="A18" t="s">
        <v>27</v>
      </c>
      <c r="B18" t="s">
        <v>2</v>
      </c>
      <c r="C18" t="s">
        <v>10</v>
      </c>
      <c r="D18" t="s">
        <v>21</v>
      </c>
      <c r="E18">
        <v>1319</v>
      </c>
      <c r="F18">
        <v>23.2752084912813</v>
      </c>
      <c r="G18">
        <v>17.2858225928734</v>
      </c>
      <c r="H18">
        <v>-5.98938589840788</v>
      </c>
      <c r="I18">
        <v>-8.11220621683093</v>
      </c>
      <c r="J18">
        <v>-4.01819560272934</v>
      </c>
      <c r="L18">
        <f t="shared" si="0"/>
        <v>-5.9893858984079</v>
      </c>
    </row>
    <row r="19" spans="1:12">
      <c r="A19" t="s">
        <v>27</v>
      </c>
      <c r="B19" t="s">
        <v>2</v>
      </c>
      <c r="C19" t="s">
        <v>10</v>
      </c>
      <c r="D19" t="s">
        <v>22</v>
      </c>
      <c r="E19">
        <v>1319</v>
      </c>
      <c r="F19">
        <v>6.89916603487491</v>
      </c>
      <c r="G19">
        <v>6.29264594389689</v>
      </c>
      <c r="H19">
        <v>-0.606520090978013</v>
      </c>
      <c r="I19">
        <v>-2.0470053070508</v>
      </c>
      <c r="J19">
        <v>0.90978013646702</v>
      </c>
      <c r="L19">
        <f t="shared" si="0"/>
        <v>-0.60652009097802</v>
      </c>
    </row>
    <row r="20" spans="1:12">
      <c r="A20" t="s">
        <v>27</v>
      </c>
      <c r="B20" t="s">
        <v>2</v>
      </c>
      <c r="C20" t="s">
        <v>10</v>
      </c>
      <c r="D20" t="s">
        <v>23</v>
      </c>
      <c r="E20">
        <v>1319</v>
      </c>
      <c r="F20">
        <v>3.94238059135709</v>
      </c>
      <c r="G20">
        <v>3.71493555724033</v>
      </c>
      <c r="H20">
        <v>-0.227445034116755</v>
      </c>
      <c r="I20">
        <v>-1.44048521607278</v>
      </c>
      <c r="J20">
        <v>0.909780136467021</v>
      </c>
      <c r="L20">
        <f t="shared" si="0"/>
        <v>-0.22744503411676</v>
      </c>
    </row>
    <row r="21" spans="1:12">
      <c r="A21" t="s">
        <v>27</v>
      </c>
      <c r="B21" t="s">
        <v>2</v>
      </c>
      <c r="C21" t="s">
        <v>10</v>
      </c>
      <c r="D21" t="s">
        <v>24</v>
      </c>
      <c r="E21">
        <v>1319</v>
      </c>
      <c r="F21">
        <v>0.45489006823351</v>
      </c>
      <c r="G21">
        <v>0.303260045489007</v>
      </c>
      <c r="H21">
        <v>-0.151630022744503</v>
      </c>
      <c r="I21">
        <v>-0.530705079605762</v>
      </c>
      <c r="J21">
        <v>0.227445034116755</v>
      </c>
      <c r="L21">
        <f t="shared" si="0"/>
        <v>-0.151630022744503</v>
      </c>
    </row>
    <row r="22" spans="1:12">
      <c r="A22" t="s">
        <v>27</v>
      </c>
      <c r="B22" t="s">
        <v>2</v>
      </c>
      <c r="C22" t="s">
        <v>10</v>
      </c>
      <c r="D22" t="s">
        <v>25</v>
      </c>
      <c r="E22">
        <v>1319</v>
      </c>
      <c r="F22">
        <v>0</v>
      </c>
      <c r="G22">
        <v>0</v>
      </c>
      <c r="H22">
        <v>0</v>
      </c>
      <c r="I22">
        <v>0</v>
      </c>
      <c r="J22">
        <v>0</v>
      </c>
      <c r="L22">
        <f t="shared" si="0"/>
        <v>0</v>
      </c>
    </row>
    <row r="23" spans="1:12">
      <c r="A23" t="s">
        <v>27</v>
      </c>
      <c r="B23" t="s">
        <v>3</v>
      </c>
      <c r="C23" t="s">
        <v>8</v>
      </c>
      <c r="D23" t="s">
        <v>19</v>
      </c>
      <c r="E23">
        <v>654</v>
      </c>
      <c r="F23">
        <v>92.2018348623853</v>
      </c>
      <c r="G23">
        <v>93.5779816513761</v>
      </c>
      <c r="H23">
        <v>1.37614678899083</v>
      </c>
      <c r="I23">
        <v>-0.305810397553519</v>
      </c>
      <c r="J23">
        <v>3.06192660550457</v>
      </c>
      <c r="L23">
        <f t="shared" si="0"/>
        <v>1.37614678899081</v>
      </c>
    </row>
    <row r="24" spans="1:12">
      <c r="A24" t="s">
        <v>27</v>
      </c>
      <c r="B24" t="s">
        <v>3</v>
      </c>
      <c r="C24" t="s">
        <v>8</v>
      </c>
      <c r="D24" t="s">
        <v>20</v>
      </c>
      <c r="E24">
        <v>654</v>
      </c>
      <c r="F24">
        <v>2.75229357798165</v>
      </c>
      <c r="G24">
        <v>1.68195718654434</v>
      </c>
      <c r="H24">
        <v>-1.07033639143731</v>
      </c>
      <c r="I24">
        <v>-2.44648318042813</v>
      </c>
      <c r="J24">
        <v>0.152905198776758</v>
      </c>
      <c r="L24">
        <f t="shared" si="0"/>
        <v>-1.07033639143731</v>
      </c>
    </row>
    <row r="25" spans="1:12">
      <c r="A25" t="s">
        <v>27</v>
      </c>
      <c r="B25" t="s">
        <v>3</v>
      </c>
      <c r="C25" t="s">
        <v>8</v>
      </c>
      <c r="D25" t="s">
        <v>21</v>
      </c>
      <c r="E25">
        <v>654</v>
      </c>
      <c r="F25">
        <v>4.74006116207951</v>
      </c>
      <c r="G25">
        <v>4.74006116207951</v>
      </c>
      <c r="H25">
        <v>0</v>
      </c>
      <c r="I25">
        <v>-1.07033639143731</v>
      </c>
      <c r="J25">
        <v>1.07033639143731</v>
      </c>
      <c r="L25">
        <f t="shared" si="0"/>
        <v>0</v>
      </c>
    </row>
    <row r="26" spans="1:12">
      <c r="A26" t="s">
        <v>27</v>
      </c>
      <c r="B26" t="s">
        <v>3</v>
      </c>
      <c r="C26" t="s">
        <v>8</v>
      </c>
      <c r="D26" t="s">
        <v>22</v>
      </c>
      <c r="E26">
        <v>654</v>
      </c>
      <c r="F26">
        <v>0.305810397553517</v>
      </c>
      <c r="G26">
        <v>0</v>
      </c>
      <c r="H26">
        <v>-0.305810397553517</v>
      </c>
      <c r="I26">
        <v>-0.764525993883792</v>
      </c>
      <c r="J26">
        <v>0</v>
      </c>
      <c r="L26">
        <f t="shared" si="0"/>
        <v>-0.305810397553517</v>
      </c>
    </row>
    <row r="27" spans="1:12">
      <c r="A27" t="s">
        <v>27</v>
      </c>
      <c r="B27" t="s">
        <v>3</v>
      </c>
      <c r="C27" t="s">
        <v>8</v>
      </c>
      <c r="D27" t="s">
        <v>23</v>
      </c>
      <c r="E27">
        <v>654</v>
      </c>
      <c r="F27">
        <v>0</v>
      </c>
      <c r="G27">
        <v>0</v>
      </c>
      <c r="H27">
        <v>0</v>
      </c>
      <c r="I27">
        <v>0</v>
      </c>
      <c r="J27">
        <v>0</v>
      </c>
      <c r="L27">
        <f t="shared" si="0"/>
        <v>0</v>
      </c>
    </row>
    <row r="28" spans="1:12">
      <c r="A28" t="s">
        <v>27</v>
      </c>
      <c r="B28" t="s">
        <v>3</v>
      </c>
      <c r="C28" t="s">
        <v>8</v>
      </c>
      <c r="D28" t="s">
        <v>24</v>
      </c>
      <c r="E28">
        <v>654</v>
      </c>
      <c r="F28">
        <v>0</v>
      </c>
      <c r="G28">
        <v>0</v>
      </c>
      <c r="H28">
        <v>0</v>
      </c>
      <c r="I28">
        <v>0</v>
      </c>
      <c r="J28">
        <v>0</v>
      </c>
      <c r="L28">
        <f t="shared" si="0"/>
        <v>0</v>
      </c>
    </row>
    <row r="29" spans="1:12">
      <c r="A29" t="s">
        <v>27</v>
      </c>
      <c r="B29" t="s">
        <v>3</v>
      </c>
      <c r="C29" t="s">
        <v>8</v>
      </c>
      <c r="D29" t="s">
        <v>25</v>
      </c>
      <c r="E29">
        <v>654</v>
      </c>
      <c r="F29">
        <v>0</v>
      </c>
      <c r="G29">
        <v>0</v>
      </c>
      <c r="H29">
        <v>0</v>
      </c>
      <c r="I29">
        <v>0</v>
      </c>
      <c r="J29">
        <v>0</v>
      </c>
      <c r="L29">
        <f t="shared" si="0"/>
        <v>0</v>
      </c>
    </row>
    <row r="30" spans="1:12">
      <c r="A30" t="s">
        <v>27</v>
      </c>
      <c r="B30" t="s">
        <v>3</v>
      </c>
      <c r="C30" t="s">
        <v>9</v>
      </c>
      <c r="D30" t="s">
        <v>19</v>
      </c>
      <c r="E30">
        <v>640</v>
      </c>
      <c r="F30">
        <v>48.4375</v>
      </c>
      <c r="G30">
        <v>55</v>
      </c>
      <c r="H30">
        <v>6.5625</v>
      </c>
      <c r="I30">
        <v>4.0625</v>
      </c>
      <c r="J30">
        <v>9.0625</v>
      </c>
      <c r="L30">
        <f t="shared" si="0"/>
        <v>6.5625</v>
      </c>
    </row>
    <row r="31" spans="1:12">
      <c r="A31" t="s">
        <v>27</v>
      </c>
      <c r="B31" t="s">
        <v>3</v>
      </c>
      <c r="C31" t="s">
        <v>9</v>
      </c>
      <c r="D31" t="s">
        <v>20</v>
      </c>
      <c r="E31">
        <v>640</v>
      </c>
      <c r="F31">
        <v>9.6875</v>
      </c>
      <c r="G31">
        <v>7.5</v>
      </c>
      <c r="H31">
        <v>-2.1875</v>
      </c>
      <c r="I31">
        <v>-4.53125</v>
      </c>
      <c r="J31">
        <v>0.156249999999999</v>
      </c>
      <c r="L31">
        <f t="shared" si="0"/>
        <v>-2.1875</v>
      </c>
    </row>
    <row r="32" spans="1:12">
      <c r="A32" t="s">
        <v>27</v>
      </c>
      <c r="B32" t="s">
        <v>3</v>
      </c>
      <c r="C32" t="s">
        <v>9</v>
      </c>
      <c r="D32" t="s">
        <v>21</v>
      </c>
      <c r="E32">
        <v>640</v>
      </c>
      <c r="F32">
        <v>31.875</v>
      </c>
      <c r="G32">
        <v>29.6875</v>
      </c>
      <c r="H32">
        <v>-2.1875</v>
      </c>
      <c r="I32">
        <v>-5</v>
      </c>
      <c r="J32">
        <v>0.78125</v>
      </c>
      <c r="L32">
        <f t="shared" si="0"/>
        <v>-2.1875</v>
      </c>
    </row>
    <row r="33" spans="1:12">
      <c r="A33" t="s">
        <v>27</v>
      </c>
      <c r="B33" t="s">
        <v>3</v>
      </c>
      <c r="C33" t="s">
        <v>9</v>
      </c>
      <c r="D33" t="s">
        <v>22</v>
      </c>
      <c r="E33">
        <v>640</v>
      </c>
      <c r="F33">
        <v>3.75</v>
      </c>
      <c r="G33">
        <v>3.125</v>
      </c>
      <c r="H33">
        <v>-0.625</v>
      </c>
      <c r="I33">
        <v>-2.34375</v>
      </c>
      <c r="J33">
        <v>1.09375</v>
      </c>
      <c r="L33">
        <f t="shared" si="0"/>
        <v>-0.625</v>
      </c>
    </row>
    <row r="34" spans="1:12">
      <c r="A34" t="s">
        <v>27</v>
      </c>
      <c r="B34" t="s">
        <v>3</v>
      </c>
      <c r="C34" t="s">
        <v>9</v>
      </c>
      <c r="D34" t="s">
        <v>23</v>
      </c>
      <c r="E34">
        <v>640</v>
      </c>
      <c r="F34">
        <v>5.625</v>
      </c>
      <c r="G34">
        <v>4.21875</v>
      </c>
      <c r="H34">
        <v>-1.40625</v>
      </c>
      <c r="I34">
        <v>-3.4375</v>
      </c>
      <c r="J34">
        <v>0.46875</v>
      </c>
      <c r="L34">
        <f t="shared" si="0"/>
        <v>-1.40625</v>
      </c>
    </row>
    <row r="35" spans="1:12">
      <c r="A35" t="s">
        <v>27</v>
      </c>
      <c r="B35" t="s">
        <v>3</v>
      </c>
      <c r="C35" t="s">
        <v>9</v>
      </c>
      <c r="D35" t="s">
        <v>24</v>
      </c>
      <c r="E35">
        <v>640</v>
      </c>
      <c r="F35">
        <v>0.625</v>
      </c>
      <c r="G35">
        <v>0.46875</v>
      </c>
      <c r="H35">
        <v>-0.15625</v>
      </c>
      <c r="I35">
        <v>-0.78515625</v>
      </c>
      <c r="J35">
        <v>0.46875</v>
      </c>
      <c r="L35">
        <f t="shared" ref="L35:L66" si="1">G35-F35</f>
        <v>-0.15625</v>
      </c>
    </row>
    <row r="36" spans="1:12">
      <c r="A36" t="s">
        <v>27</v>
      </c>
      <c r="B36" t="s">
        <v>3</v>
      </c>
      <c r="C36" t="s">
        <v>9</v>
      </c>
      <c r="D36" t="s">
        <v>25</v>
      </c>
      <c r="E36">
        <v>640</v>
      </c>
      <c r="F36">
        <v>0</v>
      </c>
      <c r="G36">
        <v>0</v>
      </c>
      <c r="H36">
        <v>0</v>
      </c>
      <c r="I36">
        <v>0</v>
      </c>
      <c r="J36">
        <v>0</v>
      </c>
      <c r="L36">
        <f t="shared" si="1"/>
        <v>0</v>
      </c>
    </row>
    <row r="37" spans="1:12">
      <c r="A37" t="s">
        <v>27</v>
      </c>
      <c r="B37" t="s">
        <v>3</v>
      </c>
      <c r="C37" t="s">
        <v>10</v>
      </c>
      <c r="D37" t="s">
        <v>19</v>
      </c>
      <c r="E37">
        <v>1319</v>
      </c>
      <c r="F37">
        <v>71.6451857467779</v>
      </c>
      <c r="G37">
        <v>79.833206974981</v>
      </c>
      <c r="H37">
        <v>8.18802122820318</v>
      </c>
      <c r="I37">
        <v>6.36846095526915</v>
      </c>
      <c r="J37">
        <v>10.0833965125095</v>
      </c>
      <c r="L37">
        <f t="shared" si="1"/>
        <v>8.1880212282031</v>
      </c>
    </row>
    <row r="38" spans="1:12">
      <c r="A38" t="s">
        <v>27</v>
      </c>
      <c r="B38" t="s">
        <v>3</v>
      </c>
      <c r="C38" t="s">
        <v>10</v>
      </c>
      <c r="D38" t="s">
        <v>20</v>
      </c>
      <c r="E38">
        <v>1319</v>
      </c>
      <c r="F38">
        <v>10.0075815011372</v>
      </c>
      <c r="G38">
        <v>2.88097043214556</v>
      </c>
      <c r="H38">
        <v>-7.12661106899166</v>
      </c>
      <c r="I38">
        <v>-8.71872630780895</v>
      </c>
      <c r="J38">
        <v>-5.53449583017438</v>
      </c>
      <c r="L38">
        <f t="shared" si="1"/>
        <v>-7.12661106899164</v>
      </c>
    </row>
    <row r="39" spans="1:12">
      <c r="A39" t="s">
        <v>27</v>
      </c>
      <c r="B39" t="s">
        <v>3</v>
      </c>
      <c r="C39" t="s">
        <v>10</v>
      </c>
      <c r="D39" t="s">
        <v>21</v>
      </c>
      <c r="E39">
        <v>1319</v>
      </c>
      <c r="F39">
        <v>15.6937073540561</v>
      </c>
      <c r="G39">
        <v>13.7225170583776</v>
      </c>
      <c r="H39">
        <v>-1.97119029567854</v>
      </c>
      <c r="I39">
        <v>-3.41167551175132</v>
      </c>
      <c r="J39">
        <v>-0.604624715693717</v>
      </c>
      <c r="L39">
        <f t="shared" si="1"/>
        <v>-1.9711902956785</v>
      </c>
    </row>
    <row r="40" spans="1:12">
      <c r="A40" t="s">
        <v>27</v>
      </c>
      <c r="B40" t="s">
        <v>3</v>
      </c>
      <c r="C40" t="s">
        <v>10</v>
      </c>
      <c r="D40" t="s">
        <v>22</v>
      </c>
      <c r="E40">
        <v>1319</v>
      </c>
      <c r="F40">
        <v>1.28885519332828</v>
      </c>
      <c r="G40">
        <v>1.81956027293404</v>
      </c>
      <c r="H40">
        <v>0.530705079605762</v>
      </c>
      <c r="I40">
        <v>-0.227445034116755</v>
      </c>
      <c r="J40">
        <v>1.21304018195603</v>
      </c>
      <c r="L40">
        <f t="shared" si="1"/>
        <v>0.53070507960576</v>
      </c>
    </row>
    <row r="41" spans="1:12">
      <c r="A41" t="s">
        <v>27</v>
      </c>
      <c r="B41" t="s">
        <v>3</v>
      </c>
      <c r="C41" t="s">
        <v>10</v>
      </c>
      <c r="D41" t="s">
        <v>23</v>
      </c>
      <c r="E41">
        <v>1319</v>
      </c>
      <c r="F41">
        <v>1.28885519332828</v>
      </c>
      <c r="G41">
        <v>1.51630022744503</v>
      </c>
      <c r="H41">
        <v>0.227445034116755</v>
      </c>
      <c r="I41">
        <v>-0.45489006823351</v>
      </c>
      <c r="J41">
        <v>0.90978013646702</v>
      </c>
      <c r="L41">
        <f t="shared" si="1"/>
        <v>0.22744503411675</v>
      </c>
    </row>
    <row r="42" spans="1:12">
      <c r="A42" t="s">
        <v>27</v>
      </c>
      <c r="B42" t="s">
        <v>3</v>
      </c>
      <c r="C42" t="s">
        <v>10</v>
      </c>
      <c r="D42" t="s">
        <v>24</v>
      </c>
      <c r="E42">
        <v>1319</v>
      </c>
      <c r="F42">
        <v>0.0758150113722517</v>
      </c>
      <c r="G42">
        <v>0.227445034116755</v>
      </c>
      <c r="H42">
        <v>0.151630022744503</v>
      </c>
      <c r="I42">
        <v>0</v>
      </c>
      <c r="J42">
        <v>0.379075056861259</v>
      </c>
      <c r="L42">
        <f t="shared" si="1"/>
        <v>0.151630022744503</v>
      </c>
    </row>
    <row r="43" spans="1:12">
      <c r="A43" t="s">
        <v>27</v>
      </c>
      <c r="B43" t="s">
        <v>3</v>
      </c>
      <c r="C43" t="s">
        <v>10</v>
      </c>
      <c r="D43" t="s">
        <v>25</v>
      </c>
      <c r="E43">
        <v>1319</v>
      </c>
      <c r="F43">
        <v>0</v>
      </c>
      <c r="G43">
        <v>0</v>
      </c>
      <c r="H43">
        <v>0</v>
      </c>
      <c r="I43">
        <v>0</v>
      </c>
      <c r="J43">
        <v>0</v>
      </c>
      <c r="L43">
        <f t="shared" si="1"/>
        <v>0</v>
      </c>
    </row>
    <row r="44" spans="1:12">
      <c r="A44" t="s">
        <v>27</v>
      </c>
      <c r="B44" t="s">
        <v>4</v>
      </c>
      <c r="C44" t="s">
        <v>8</v>
      </c>
      <c r="D44" t="s">
        <v>19</v>
      </c>
      <c r="E44">
        <v>654</v>
      </c>
      <c r="F44">
        <v>85.3211009174312</v>
      </c>
      <c r="G44">
        <v>92.2018348623853</v>
      </c>
      <c r="H44">
        <v>6.88073394495413</v>
      </c>
      <c r="I44">
        <v>4.74006116207951</v>
      </c>
      <c r="J44">
        <v>9.02140672782875</v>
      </c>
      <c r="L44">
        <f t="shared" si="1"/>
        <v>6.8807339449541</v>
      </c>
    </row>
    <row r="45" spans="1:12">
      <c r="A45" t="s">
        <v>27</v>
      </c>
      <c r="B45" t="s">
        <v>4</v>
      </c>
      <c r="C45" t="s">
        <v>8</v>
      </c>
      <c r="D45" t="s">
        <v>20</v>
      </c>
      <c r="E45">
        <v>654</v>
      </c>
      <c r="F45">
        <v>9.9388379204893</v>
      </c>
      <c r="G45">
        <v>2.44648318042813</v>
      </c>
      <c r="H45">
        <v>-7.49235474006116</v>
      </c>
      <c r="I45">
        <v>-9.48012232415902</v>
      </c>
      <c r="J45">
        <v>-5.5045871559633</v>
      </c>
      <c r="L45">
        <f t="shared" si="1"/>
        <v>-7.49235474006117</v>
      </c>
    </row>
    <row r="46" spans="1:12">
      <c r="A46" t="s">
        <v>27</v>
      </c>
      <c r="B46" t="s">
        <v>4</v>
      </c>
      <c r="C46" t="s">
        <v>8</v>
      </c>
      <c r="D46" t="s">
        <v>21</v>
      </c>
      <c r="E46">
        <v>654</v>
      </c>
      <c r="F46">
        <v>4.58715596330275</v>
      </c>
      <c r="G46">
        <v>5.04587155963303</v>
      </c>
      <c r="H46">
        <v>0.458715596330275</v>
      </c>
      <c r="I46">
        <v>-0.611620795107034</v>
      </c>
      <c r="J46">
        <v>1.68195718654434</v>
      </c>
      <c r="L46">
        <f t="shared" si="1"/>
        <v>0.45871559633028</v>
      </c>
    </row>
    <row r="47" spans="1:12">
      <c r="A47" t="s">
        <v>27</v>
      </c>
      <c r="B47" t="s">
        <v>4</v>
      </c>
      <c r="C47" t="s">
        <v>8</v>
      </c>
      <c r="D47" t="s">
        <v>22</v>
      </c>
      <c r="E47">
        <v>654</v>
      </c>
      <c r="F47">
        <v>0.152905198776758</v>
      </c>
      <c r="G47">
        <v>0.305810397553517</v>
      </c>
      <c r="H47">
        <v>0.152905198776758</v>
      </c>
      <c r="I47">
        <v>-0.305810397553517</v>
      </c>
      <c r="J47">
        <v>0.611620795107034</v>
      </c>
      <c r="L47">
        <f t="shared" si="1"/>
        <v>0.152905198776759</v>
      </c>
    </row>
    <row r="48" spans="1:12">
      <c r="A48" t="s">
        <v>27</v>
      </c>
      <c r="B48" t="s">
        <v>4</v>
      </c>
      <c r="C48" t="s">
        <v>8</v>
      </c>
      <c r="D48" t="s">
        <v>23</v>
      </c>
      <c r="E48">
        <v>654</v>
      </c>
      <c r="F48">
        <v>0</v>
      </c>
      <c r="G48">
        <v>0</v>
      </c>
      <c r="H48">
        <v>0</v>
      </c>
      <c r="I48">
        <v>0</v>
      </c>
      <c r="J48">
        <v>0</v>
      </c>
      <c r="L48">
        <f t="shared" si="1"/>
        <v>0</v>
      </c>
    </row>
    <row r="49" spans="1:12">
      <c r="A49" t="s">
        <v>27</v>
      </c>
      <c r="B49" t="s">
        <v>4</v>
      </c>
      <c r="C49" t="s">
        <v>8</v>
      </c>
      <c r="D49" t="s">
        <v>24</v>
      </c>
      <c r="E49">
        <v>654</v>
      </c>
      <c r="F49">
        <v>0</v>
      </c>
      <c r="G49">
        <v>0</v>
      </c>
      <c r="H49">
        <v>0</v>
      </c>
      <c r="I49">
        <v>0</v>
      </c>
      <c r="J49">
        <v>0</v>
      </c>
      <c r="L49">
        <f t="shared" si="1"/>
        <v>0</v>
      </c>
    </row>
    <row r="50" spans="1:12">
      <c r="A50" t="s">
        <v>27</v>
      </c>
      <c r="B50" t="s">
        <v>4</v>
      </c>
      <c r="C50" t="s">
        <v>8</v>
      </c>
      <c r="D50" t="s">
        <v>25</v>
      </c>
      <c r="E50">
        <v>654</v>
      </c>
      <c r="F50">
        <v>0</v>
      </c>
      <c r="G50">
        <v>0</v>
      </c>
      <c r="H50">
        <v>0</v>
      </c>
      <c r="I50">
        <v>0</v>
      </c>
      <c r="J50">
        <v>0</v>
      </c>
      <c r="L50">
        <f t="shared" si="1"/>
        <v>0</v>
      </c>
    </row>
    <row r="51" spans="1:12">
      <c r="A51" t="s">
        <v>27</v>
      </c>
      <c r="B51" t="s">
        <v>4</v>
      </c>
      <c r="C51" t="s">
        <v>9</v>
      </c>
      <c r="D51" t="s">
        <v>19</v>
      </c>
      <c r="E51">
        <v>640</v>
      </c>
      <c r="F51">
        <v>33.28125</v>
      </c>
      <c r="G51">
        <v>46.25</v>
      </c>
      <c r="H51">
        <v>12.96875</v>
      </c>
      <c r="I51">
        <v>10</v>
      </c>
      <c r="J51">
        <v>15.94140625</v>
      </c>
      <c r="L51">
        <f t="shared" si="1"/>
        <v>12.96875</v>
      </c>
    </row>
    <row r="52" spans="1:12">
      <c r="A52" t="s">
        <v>27</v>
      </c>
      <c r="B52" t="s">
        <v>4</v>
      </c>
      <c r="C52" t="s">
        <v>9</v>
      </c>
      <c r="D52" t="s">
        <v>20</v>
      </c>
      <c r="E52">
        <v>640</v>
      </c>
      <c r="F52">
        <v>42.65625</v>
      </c>
      <c r="G52">
        <v>19.375</v>
      </c>
      <c r="H52">
        <v>-23.28125</v>
      </c>
      <c r="I52">
        <v>-27.1875</v>
      </c>
      <c r="J52">
        <v>-19.375</v>
      </c>
      <c r="L52">
        <f t="shared" si="1"/>
        <v>-23.28125</v>
      </c>
    </row>
    <row r="53" spans="1:12">
      <c r="A53" t="s">
        <v>27</v>
      </c>
      <c r="B53" t="s">
        <v>4</v>
      </c>
      <c r="C53" t="s">
        <v>9</v>
      </c>
      <c r="D53" t="s">
        <v>21</v>
      </c>
      <c r="E53">
        <v>640</v>
      </c>
      <c r="F53">
        <v>19.84375</v>
      </c>
      <c r="G53">
        <v>28.59375</v>
      </c>
      <c r="H53">
        <v>8.75</v>
      </c>
      <c r="I53">
        <v>5.46875</v>
      </c>
      <c r="J53">
        <v>11.875</v>
      </c>
      <c r="L53">
        <f t="shared" si="1"/>
        <v>8.75</v>
      </c>
    </row>
    <row r="54" spans="1:12">
      <c r="A54" t="s">
        <v>27</v>
      </c>
      <c r="B54" t="s">
        <v>4</v>
      </c>
      <c r="C54" t="s">
        <v>9</v>
      </c>
      <c r="D54" t="s">
        <v>22</v>
      </c>
      <c r="E54">
        <v>640</v>
      </c>
      <c r="F54">
        <v>1.875</v>
      </c>
      <c r="G54">
        <v>2.5</v>
      </c>
      <c r="H54">
        <v>0.625</v>
      </c>
      <c r="I54">
        <v>-0.78125</v>
      </c>
      <c r="J54">
        <v>2.1875</v>
      </c>
      <c r="L54">
        <f t="shared" si="1"/>
        <v>0.625</v>
      </c>
    </row>
    <row r="55" spans="1:12">
      <c r="A55" t="s">
        <v>27</v>
      </c>
      <c r="B55" t="s">
        <v>4</v>
      </c>
      <c r="C55" t="s">
        <v>9</v>
      </c>
      <c r="D55" t="s">
        <v>23</v>
      </c>
      <c r="E55">
        <v>640</v>
      </c>
      <c r="F55">
        <v>2.34375</v>
      </c>
      <c r="G55">
        <v>2.96875</v>
      </c>
      <c r="H55">
        <v>0.625</v>
      </c>
      <c r="I55">
        <v>-0.78125</v>
      </c>
      <c r="J55">
        <v>2.03125</v>
      </c>
      <c r="L55">
        <f t="shared" si="1"/>
        <v>0.625</v>
      </c>
    </row>
    <row r="56" spans="1:12">
      <c r="A56" t="s">
        <v>27</v>
      </c>
      <c r="B56" t="s">
        <v>4</v>
      </c>
      <c r="C56" t="s">
        <v>9</v>
      </c>
      <c r="D56" t="s">
        <v>24</v>
      </c>
      <c r="E56">
        <v>640</v>
      </c>
      <c r="F56">
        <v>0</v>
      </c>
      <c r="G56">
        <v>0.3125</v>
      </c>
      <c r="H56">
        <v>0.3125</v>
      </c>
      <c r="I56">
        <v>0</v>
      </c>
      <c r="J56">
        <v>0.78125</v>
      </c>
      <c r="L56">
        <f t="shared" si="1"/>
        <v>0.3125</v>
      </c>
    </row>
    <row r="57" spans="1:12">
      <c r="A57" t="s">
        <v>27</v>
      </c>
      <c r="B57" t="s">
        <v>4</v>
      </c>
      <c r="C57" t="s">
        <v>9</v>
      </c>
      <c r="D57" t="s">
        <v>25</v>
      </c>
      <c r="E57">
        <v>640</v>
      </c>
      <c r="F57">
        <v>0</v>
      </c>
      <c r="G57">
        <v>0</v>
      </c>
      <c r="H57">
        <v>0</v>
      </c>
      <c r="I57">
        <v>0</v>
      </c>
      <c r="J57">
        <v>0</v>
      </c>
      <c r="L57">
        <f t="shared" si="1"/>
        <v>0</v>
      </c>
    </row>
    <row r="58" spans="1:12">
      <c r="A58" t="s">
        <v>27</v>
      </c>
      <c r="B58" t="s">
        <v>4</v>
      </c>
      <c r="C58" t="s">
        <v>10</v>
      </c>
      <c r="D58" t="s">
        <v>19</v>
      </c>
      <c r="E58">
        <v>1319</v>
      </c>
      <c r="F58">
        <v>61.0310841546626</v>
      </c>
      <c r="G58">
        <v>77.3313115996967</v>
      </c>
      <c r="H58">
        <v>16.3002274450341</v>
      </c>
      <c r="I58">
        <v>14.1774071266111</v>
      </c>
      <c r="J58">
        <v>18.4230477634572</v>
      </c>
      <c r="L58">
        <f t="shared" si="1"/>
        <v>16.3002274450341</v>
      </c>
    </row>
    <row r="59" spans="1:12">
      <c r="A59" t="s">
        <v>27</v>
      </c>
      <c r="B59" t="s">
        <v>4</v>
      </c>
      <c r="C59" t="s">
        <v>10</v>
      </c>
      <c r="D59" t="s">
        <v>20</v>
      </c>
      <c r="E59">
        <v>1319</v>
      </c>
      <c r="F59">
        <v>23.502653525398</v>
      </c>
      <c r="G59">
        <v>6.82335102350265</v>
      </c>
      <c r="H59">
        <v>-16.6793025018954</v>
      </c>
      <c r="I59">
        <v>-18.8040181956027</v>
      </c>
      <c r="J59">
        <v>-14.4048521607278</v>
      </c>
      <c r="L59">
        <f t="shared" si="1"/>
        <v>-16.6793025018954</v>
      </c>
    </row>
    <row r="60" spans="1:12">
      <c r="A60" t="s">
        <v>27</v>
      </c>
      <c r="B60" t="s">
        <v>4</v>
      </c>
      <c r="C60" t="s">
        <v>10</v>
      </c>
      <c r="D60" t="s">
        <v>21</v>
      </c>
      <c r="E60">
        <v>1319</v>
      </c>
      <c r="F60">
        <v>13.7983320697498</v>
      </c>
      <c r="G60">
        <v>13.5708870356331</v>
      </c>
      <c r="H60">
        <v>-0.227445034116755</v>
      </c>
      <c r="I60">
        <v>-1.74374526156179</v>
      </c>
      <c r="J60">
        <v>1.36467020470053</v>
      </c>
      <c r="L60">
        <f t="shared" si="1"/>
        <v>-0.2274450341167</v>
      </c>
    </row>
    <row r="61" spans="1:12">
      <c r="A61" t="s">
        <v>27</v>
      </c>
      <c r="B61" t="s">
        <v>4</v>
      </c>
      <c r="C61" t="s">
        <v>10</v>
      </c>
      <c r="D61" t="s">
        <v>22</v>
      </c>
      <c r="E61">
        <v>1319</v>
      </c>
      <c r="F61">
        <v>0.682335102350265</v>
      </c>
      <c r="G61">
        <v>1.06141015921152</v>
      </c>
      <c r="H61">
        <v>0.379075056861259</v>
      </c>
      <c r="I61">
        <v>-0.15352539802881</v>
      </c>
      <c r="J61">
        <v>0.985595147839272</v>
      </c>
      <c r="L61">
        <f t="shared" si="1"/>
        <v>0.379075056861255</v>
      </c>
    </row>
    <row r="62" spans="1:12">
      <c r="A62" t="s">
        <v>27</v>
      </c>
      <c r="B62" t="s">
        <v>4</v>
      </c>
      <c r="C62" t="s">
        <v>10</v>
      </c>
      <c r="D62" t="s">
        <v>23</v>
      </c>
      <c r="E62">
        <v>1319</v>
      </c>
      <c r="F62">
        <v>0.985595147839272</v>
      </c>
      <c r="G62">
        <v>1.13722517058378</v>
      </c>
      <c r="H62">
        <v>0.151630022744503</v>
      </c>
      <c r="I62">
        <v>-0.45489006823351</v>
      </c>
      <c r="J62">
        <v>0.758150113722517</v>
      </c>
      <c r="L62">
        <f t="shared" si="1"/>
        <v>0.151630022744508</v>
      </c>
    </row>
    <row r="63" spans="1:12">
      <c r="A63" t="s">
        <v>27</v>
      </c>
      <c r="B63" t="s">
        <v>4</v>
      </c>
      <c r="C63" t="s">
        <v>10</v>
      </c>
      <c r="D63" t="s">
        <v>24</v>
      </c>
      <c r="E63">
        <v>1319</v>
      </c>
      <c r="F63">
        <v>0</v>
      </c>
      <c r="G63">
        <v>0.0758150113722517</v>
      </c>
      <c r="H63">
        <v>0.0758150113722517</v>
      </c>
      <c r="I63">
        <v>0</v>
      </c>
      <c r="J63">
        <v>0.227445034116755</v>
      </c>
      <c r="L63">
        <f t="shared" si="1"/>
        <v>0.0758150113722517</v>
      </c>
    </row>
    <row r="64" spans="1:12">
      <c r="A64" t="s">
        <v>27</v>
      </c>
      <c r="B64" t="s">
        <v>4</v>
      </c>
      <c r="C64" t="s">
        <v>10</v>
      </c>
      <c r="D64" t="s">
        <v>25</v>
      </c>
      <c r="E64">
        <v>1319</v>
      </c>
      <c r="F64">
        <v>0</v>
      </c>
      <c r="G64">
        <v>0</v>
      </c>
      <c r="H64">
        <v>0</v>
      </c>
      <c r="I64">
        <v>0</v>
      </c>
      <c r="J64">
        <v>0</v>
      </c>
      <c r="L64">
        <f t="shared" si="1"/>
        <v>0</v>
      </c>
    </row>
    <row r="65" spans="1:12">
      <c r="A65" t="s">
        <v>27</v>
      </c>
      <c r="B65" t="s">
        <v>5</v>
      </c>
      <c r="C65" t="s">
        <v>8</v>
      </c>
      <c r="D65" t="s">
        <v>19</v>
      </c>
      <c r="E65">
        <v>654</v>
      </c>
      <c r="F65">
        <v>93.4250764525994</v>
      </c>
      <c r="G65">
        <v>94.6483180428135</v>
      </c>
      <c r="H65">
        <v>1.22324159021406</v>
      </c>
      <c r="I65">
        <v>-0.152905198776765</v>
      </c>
      <c r="J65">
        <v>2.59938837920489</v>
      </c>
      <c r="L65">
        <f t="shared" si="1"/>
        <v>1.2232415902141</v>
      </c>
    </row>
    <row r="66" spans="1:12">
      <c r="A66" t="s">
        <v>27</v>
      </c>
      <c r="B66" t="s">
        <v>5</v>
      </c>
      <c r="C66" t="s">
        <v>8</v>
      </c>
      <c r="D66" t="s">
        <v>20</v>
      </c>
      <c r="E66">
        <v>654</v>
      </c>
      <c r="F66">
        <v>0</v>
      </c>
      <c r="G66">
        <v>0</v>
      </c>
      <c r="H66">
        <v>0</v>
      </c>
      <c r="I66">
        <v>0</v>
      </c>
      <c r="J66">
        <v>0</v>
      </c>
      <c r="L66">
        <f t="shared" si="1"/>
        <v>0</v>
      </c>
    </row>
    <row r="67" spans="1:12">
      <c r="A67" t="s">
        <v>27</v>
      </c>
      <c r="B67" t="s">
        <v>5</v>
      </c>
      <c r="C67" t="s">
        <v>8</v>
      </c>
      <c r="D67" t="s">
        <v>21</v>
      </c>
      <c r="E67">
        <v>654</v>
      </c>
      <c r="F67">
        <v>5.81039755351682</v>
      </c>
      <c r="G67">
        <v>5.04587155963303</v>
      </c>
      <c r="H67">
        <v>-0.764525993883792</v>
      </c>
      <c r="I67">
        <v>-1.98776758409786</v>
      </c>
      <c r="J67">
        <v>0.458715596330275</v>
      </c>
      <c r="L67">
        <f t="shared" ref="L67:L98" si="2">G67-F67</f>
        <v>-0.76452599388379</v>
      </c>
    </row>
    <row r="68" spans="1:12">
      <c r="A68" t="s">
        <v>27</v>
      </c>
      <c r="B68" t="s">
        <v>5</v>
      </c>
      <c r="C68" t="s">
        <v>8</v>
      </c>
      <c r="D68" t="s">
        <v>22</v>
      </c>
      <c r="E68">
        <v>654</v>
      </c>
      <c r="F68">
        <v>0.764525993883792</v>
      </c>
      <c r="G68">
        <v>0.152905198776758</v>
      </c>
      <c r="H68">
        <v>-0.611620795107034</v>
      </c>
      <c r="I68">
        <v>-1.22324159021407</v>
      </c>
      <c r="J68">
        <v>-0.152905198776758</v>
      </c>
      <c r="L68">
        <f t="shared" si="2"/>
        <v>-0.611620795107034</v>
      </c>
    </row>
    <row r="69" spans="1:12">
      <c r="A69" t="s">
        <v>27</v>
      </c>
      <c r="B69" t="s">
        <v>5</v>
      </c>
      <c r="C69" t="s">
        <v>8</v>
      </c>
      <c r="D69" t="s">
        <v>23</v>
      </c>
      <c r="E69">
        <v>654</v>
      </c>
      <c r="F69">
        <v>0</v>
      </c>
      <c r="G69">
        <v>0.152905198776758</v>
      </c>
      <c r="H69">
        <v>0.152905198776758</v>
      </c>
      <c r="I69">
        <v>0</v>
      </c>
      <c r="J69">
        <v>0.458715596330275</v>
      </c>
      <c r="L69">
        <f t="shared" si="2"/>
        <v>0.152905198776758</v>
      </c>
    </row>
    <row r="70" spans="1:12">
      <c r="A70" t="s">
        <v>27</v>
      </c>
      <c r="B70" t="s">
        <v>5</v>
      </c>
      <c r="C70" t="s">
        <v>8</v>
      </c>
      <c r="D70" t="s">
        <v>24</v>
      </c>
      <c r="E70">
        <v>654</v>
      </c>
      <c r="F70">
        <v>0</v>
      </c>
      <c r="G70">
        <v>0</v>
      </c>
      <c r="H70">
        <v>0</v>
      </c>
      <c r="I70">
        <v>0</v>
      </c>
      <c r="J70">
        <v>0</v>
      </c>
      <c r="L70">
        <f t="shared" si="2"/>
        <v>0</v>
      </c>
    </row>
    <row r="71" spans="1:12">
      <c r="A71" t="s">
        <v>27</v>
      </c>
      <c r="B71" t="s">
        <v>5</v>
      </c>
      <c r="C71" t="s">
        <v>8</v>
      </c>
      <c r="D71" t="s">
        <v>25</v>
      </c>
      <c r="E71">
        <v>654</v>
      </c>
      <c r="F71">
        <v>0</v>
      </c>
      <c r="G71">
        <v>0</v>
      </c>
      <c r="H71">
        <v>0</v>
      </c>
      <c r="I71">
        <v>0</v>
      </c>
      <c r="J71">
        <v>0</v>
      </c>
      <c r="L71">
        <f t="shared" si="2"/>
        <v>0</v>
      </c>
    </row>
    <row r="72" spans="1:12">
      <c r="A72" t="s">
        <v>27</v>
      </c>
      <c r="B72" t="s">
        <v>5</v>
      </c>
      <c r="C72" t="s">
        <v>9</v>
      </c>
      <c r="D72" t="s">
        <v>19</v>
      </c>
      <c r="E72">
        <v>640</v>
      </c>
      <c r="F72">
        <v>35.15625</v>
      </c>
      <c r="G72">
        <v>42.65625</v>
      </c>
      <c r="H72">
        <v>7.5</v>
      </c>
      <c r="I72">
        <v>4.21875</v>
      </c>
      <c r="J72">
        <v>10.78125</v>
      </c>
      <c r="L72">
        <f t="shared" si="2"/>
        <v>7.5</v>
      </c>
    </row>
    <row r="73" spans="1:12">
      <c r="A73" t="s">
        <v>27</v>
      </c>
      <c r="B73" t="s">
        <v>5</v>
      </c>
      <c r="C73" t="s">
        <v>9</v>
      </c>
      <c r="D73" t="s">
        <v>20</v>
      </c>
      <c r="E73">
        <v>640</v>
      </c>
      <c r="F73">
        <v>0</v>
      </c>
      <c r="G73">
        <v>0</v>
      </c>
      <c r="H73">
        <v>0</v>
      </c>
      <c r="I73">
        <v>0</v>
      </c>
      <c r="J73">
        <v>0</v>
      </c>
      <c r="L73">
        <f t="shared" si="2"/>
        <v>0</v>
      </c>
    </row>
    <row r="74" spans="1:12">
      <c r="A74" t="s">
        <v>27</v>
      </c>
      <c r="B74" t="s">
        <v>5</v>
      </c>
      <c r="C74" t="s">
        <v>9</v>
      </c>
      <c r="D74" t="s">
        <v>21</v>
      </c>
      <c r="E74">
        <v>640</v>
      </c>
      <c r="F74">
        <v>44.6875</v>
      </c>
      <c r="G74">
        <v>35.46875</v>
      </c>
      <c r="H74">
        <v>-9.21875</v>
      </c>
      <c r="I74">
        <v>-13.28125</v>
      </c>
      <c r="J74">
        <v>-5.3125</v>
      </c>
      <c r="L74">
        <f t="shared" si="2"/>
        <v>-9.21875</v>
      </c>
    </row>
    <row r="75" spans="1:12">
      <c r="A75" t="s">
        <v>27</v>
      </c>
      <c r="B75" t="s">
        <v>5</v>
      </c>
      <c r="C75" t="s">
        <v>9</v>
      </c>
      <c r="D75" t="s">
        <v>22</v>
      </c>
      <c r="E75">
        <v>640</v>
      </c>
      <c r="F75">
        <v>11.5625</v>
      </c>
      <c r="G75">
        <v>15.46875</v>
      </c>
      <c r="H75">
        <v>3.90625</v>
      </c>
      <c r="I75">
        <v>0.937499999999999</v>
      </c>
      <c r="J75">
        <v>7.1875</v>
      </c>
      <c r="L75">
        <f t="shared" si="2"/>
        <v>3.90625</v>
      </c>
    </row>
    <row r="76" spans="1:12">
      <c r="A76" t="s">
        <v>27</v>
      </c>
      <c r="B76" t="s">
        <v>5</v>
      </c>
      <c r="C76" t="s">
        <v>9</v>
      </c>
      <c r="D76" t="s">
        <v>23</v>
      </c>
      <c r="E76">
        <v>640</v>
      </c>
      <c r="F76">
        <v>8.59375</v>
      </c>
      <c r="G76">
        <v>6.40625</v>
      </c>
      <c r="H76">
        <v>-2.1875</v>
      </c>
      <c r="I76">
        <v>-4.53125</v>
      </c>
      <c r="J76">
        <v>0.156250000000001</v>
      </c>
      <c r="L76">
        <f t="shared" si="2"/>
        <v>-2.1875</v>
      </c>
    </row>
    <row r="77" spans="1:12">
      <c r="A77" t="s">
        <v>27</v>
      </c>
      <c r="B77" t="s">
        <v>5</v>
      </c>
      <c r="C77" t="s">
        <v>9</v>
      </c>
      <c r="D77" t="s">
        <v>24</v>
      </c>
      <c r="E77">
        <v>640</v>
      </c>
      <c r="F77">
        <v>0</v>
      </c>
      <c r="G77">
        <v>0</v>
      </c>
      <c r="H77">
        <v>0</v>
      </c>
      <c r="I77">
        <v>0</v>
      </c>
      <c r="J77">
        <v>0</v>
      </c>
      <c r="L77">
        <f t="shared" si="2"/>
        <v>0</v>
      </c>
    </row>
    <row r="78" spans="1:12">
      <c r="A78" t="s">
        <v>27</v>
      </c>
      <c r="B78" t="s">
        <v>5</v>
      </c>
      <c r="C78" t="s">
        <v>9</v>
      </c>
      <c r="D78" t="s">
        <v>25</v>
      </c>
      <c r="E78">
        <v>640</v>
      </c>
      <c r="F78">
        <v>0</v>
      </c>
      <c r="G78">
        <v>0</v>
      </c>
      <c r="H78">
        <v>0</v>
      </c>
      <c r="I78">
        <v>0</v>
      </c>
      <c r="J78">
        <v>0</v>
      </c>
      <c r="L78">
        <f t="shared" si="2"/>
        <v>0</v>
      </c>
    </row>
    <row r="79" spans="1:12">
      <c r="A79" t="s">
        <v>27</v>
      </c>
      <c r="B79" t="s">
        <v>5</v>
      </c>
      <c r="C79" t="s">
        <v>10</v>
      </c>
      <c r="D79" t="s">
        <v>19</v>
      </c>
      <c r="E79">
        <v>1319</v>
      </c>
      <c r="F79">
        <v>73.8438210765732</v>
      </c>
      <c r="G79">
        <v>73.8438210765732</v>
      </c>
      <c r="H79">
        <v>0</v>
      </c>
      <c r="I79">
        <v>-1.74374526156179</v>
      </c>
      <c r="J79">
        <v>1.89537528430629</v>
      </c>
      <c r="L79">
        <f t="shared" si="2"/>
        <v>0</v>
      </c>
    </row>
    <row r="80" spans="1:12">
      <c r="A80" t="s">
        <v>27</v>
      </c>
      <c r="B80" t="s">
        <v>5</v>
      </c>
      <c r="C80" t="s">
        <v>10</v>
      </c>
      <c r="D80" t="s">
        <v>20</v>
      </c>
      <c r="E80">
        <v>1319</v>
      </c>
      <c r="F80">
        <v>0</v>
      </c>
      <c r="G80">
        <v>0</v>
      </c>
      <c r="H80">
        <v>0</v>
      </c>
      <c r="I80">
        <v>0</v>
      </c>
      <c r="J80">
        <v>0</v>
      </c>
      <c r="L80">
        <f t="shared" si="2"/>
        <v>0</v>
      </c>
    </row>
    <row r="81" spans="1:12">
      <c r="A81" t="s">
        <v>27</v>
      </c>
      <c r="B81" t="s">
        <v>5</v>
      </c>
      <c r="C81" t="s">
        <v>10</v>
      </c>
      <c r="D81" t="s">
        <v>21</v>
      </c>
      <c r="E81">
        <v>1319</v>
      </c>
      <c r="F81">
        <v>19.8635329795299</v>
      </c>
      <c r="G81">
        <v>18.5746777862017</v>
      </c>
      <c r="H81">
        <v>-1.28885519332828</v>
      </c>
      <c r="I81">
        <v>-3.26004548900682</v>
      </c>
      <c r="J81">
        <v>0.682335102350265</v>
      </c>
      <c r="L81">
        <f t="shared" si="2"/>
        <v>-1.2888551933282</v>
      </c>
    </row>
    <row r="82" spans="1:12">
      <c r="A82" t="s">
        <v>27</v>
      </c>
      <c r="B82" t="s">
        <v>5</v>
      </c>
      <c r="C82" t="s">
        <v>10</v>
      </c>
      <c r="D82" t="s">
        <v>22</v>
      </c>
      <c r="E82">
        <v>1319</v>
      </c>
      <c r="F82">
        <v>3.18423047763457</v>
      </c>
      <c r="G82">
        <v>5.00379075056861</v>
      </c>
      <c r="H82">
        <v>1.81956027293404</v>
      </c>
      <c r="I82">
        <v>0.530705079605762</v>
      </c>
      <c r="J82">
        <v>3.10841546626232</v>
      </c>
      <c r="L82">
        <f t="shared" si="2"/>
        <v>1.81956027293404</v>
      </c>
    </row>
    <row r="83" spans="1:12">
      <c r="A83" t="s">
        <v>27</v>
      </c>
      <c r="B83" t="s">
        <v>5</v>
      </c>
      <c r="C83" t="s">
        <v>10</v>
      </c>
      <c r="D83" t="s">
        <v>23</v>
      </c>
      <c r="E83">
        <v>1319</v>
      </c>
      <c r="F83">
        <v>3.10841546626232</v>
      </c>
      <c r="G83">
        <v>2.57771038665656</v>
      </c>
      <c r="H83">
        <v>-0.530705079605762</v>
      </c>
      <c r="I83">
        <v>-1.51630022744503</v>
      </c>
      <c r="J83">
        <v>0.45489006823351</v>
      </c>
      <c r="L83">
        <f t="shared" si="2"/>
        <v>-0.53070507960576</v>
      </c>
    </row>
    <row r="84" spans="1:12">
      <c r="A84" t="s">
        <v>27</v>
      </c>
      <c r="B84" t="s">
        <v>5</v>
      </c>
      <c r="C84" t="s">
        <v>10</v>
      </c>
      <c r="D84" t="s">
        <v>24</v>
      </c>
      <c r="E84">
        <v>1319</v>
      </c>
      <c r="F84">
        <v>0</v>
      </c>
      <c r="G84">
        <v>0</v>
      </c>
      <c r="H84">
        <v>0</v>
      </c>
      <c r="I84">
        <v>0</v>
      </c>
      <c r="J84">
        <v>0</v>
      </c>
      <c r="L84">
        <f t="shared" si="2"/>
        <v>0</v>
      </c>
    </row>
    <row r="85" spans="1:12">
      <c r="A85" t="s">
        <v>27</v>
      </c>
      <c r="B85" t="s">
        <v>5</v>
      </c>
      <c r="C85" t="s">
        <v>10</v>
      </c>
      <c r="D85" t="s">
        <v>25</v>
      </c>
      <c r="E85">
        <v>1319</v>
      </c>
      <c r="F85">
        <v>0</v>
      </c>
      <c r="G85">
        <v>0</v>
      </c>
      <c r="H85">
        <v>0</v>
      </c>
      <c r="I85">
        <v>0</v>
      </c>
      <c r="J85">
        <v>0</v>
      </c>
      <c r="L85">
        <f t="shared" si="2"/>
        <v>0</v>
      </c>
    </row>
    <row r="86" spans="1:12">
      <c r="A86" t="s">
        <v>27</v>
      </c>
      <c r="B86" t="s">
        <v>6</v>
      </c>
      <c r="C86" t="s">
        <v>8</v>
      </c>
      <c r="D86" t="s">
        <v>19</v>
      </c>
      <c r="E86">
        <v>654</v>
      </c>
      <c r="F86">
        <v>92.9663608562691</v>
      </c>
      <c r="G86">
        <v>94.4954128440367</v>
      </c>
      <c r="H86">
        <v>1.52905198776758</v>
      </c>
      <c r="I86">
        <v>-0.458715596330272</v>
      </c>
      <c r="J86">
        <v>3.51681957186545</v>
      </c>
      <c r="L86">
        <f t="shared" si="2"/>
        <v>1.52905198776759</v>
      </c>
    </row>
    <row r="87" spans="1:12">
      <c r="A87" t="s">
        <v>27</v>
      </c>
      <c r="B87" t="s">
        <v>6</v>
      </c>
      <c r="C87" t="s">
        <v>8</v>
      </c>
      <c r="D87" t="s">
        <v>20</v>
      </c>
      <c r="E87">
        <v>654</v>
      </c>
      <c r="F87">
        <v>0</v>
      </c>
      <c r="G87">
        <v>0</v>
      </c>
      <c r="H87">
        <v>0</v>
      </c>
      <c r="I87">
        <v>0</v>
      </c>
      <c r="J87">
        <v>0</v>
      </c>
      <c r="L87">
        <f t="shared" si="2"/>
        <v>0</v>
      </c>
    </row>
    <row r="88" spans="1:12">
      <c r="A88" t="s">
        <v>27</v>
      </c>
      <c r="B88" t="s">
        <v>6</v>
      </c>
      <c r="C88" t="s">
        <v>8</v>
      </c>
      <c r="D88" t="s">
        <v>21</v>
      </c>
      <c r="E88">
        <v>654</v>
      </c>
      <c r="F88">
        <v>5.65749235474006</v>
      </c>
      <c r="G88">
        <v>5.04587155963303</v>
      </c>
      <c r="H88">
        <v>-0.611620795107033</v>
      </c>
      <c r="I88">
        <v>-2.59938837920489</v>
      </c>
      <c r="J88">
        <v>1.22324159021407</v>
      </c>
      <c r="L88">
        <f t="shared" si="2"/>
        <v>-0.61162079510703</v>
      </c>
    </row>
    <row r="89" spans="1:12">
      <c r="A89" t="s">
        <v>27</v>
      </c>
      <c r="B89" t="s">
        <v>6</v>
      </c>
      <c r="C89" t="s">
        <v>8</v>
      </c>
      <c r="D89" t="s">
        <v>22</v>
      </c>
      <c r="E89">
        <v>654</v>
      </c>
      <c r="F89">
        <v>1.37614678899083</v>
      </c>
      <c r="G89">
        <v>0.305810397553517</v>
      </c>
      <c r="H89">
        <v>-1.07033639143731</v>
      </c>
      <c r="I89">
        <v>-1.98776758409786</v>
      </c>
      <c r="J89">
        <v>-0.305810397553517</v>
      </c>
      <c r="L89">
        <f t="shared" si="2"/>
        <v>-1.07033639143731</v>
      </c>
    </row>
    <row r="90" spans="1:12">
      <c r="A90" t="s">
        <v>27</v>
      </c>
      <c r="B90" t="s">
        <v>6</v>
      </c>
      <c r="C90" t="s">
        <v>8</v>
      </c>
      <c r="D90" t="s">
        <v>23</v>
      </c>
      <c r="E90">
        <v>654</v>
      </c>
      <c r="F90">
        <v>0</v>
      </c>
      <c r="G90">
        <v>0.152905198776758</v>
      </c>
      <c r="H90">
        <v>0.152905198776758</v>
      </c>
      <c r="I90">
        <v>0</v>
      </c>
      <c r="J90">
        <v>0.458715596330275</v>
      </c>
      <c r="L90">
        <f t="shared" si="2"/>
        <v>0.152905198776758</v>
      </c>
    </row>
    <row r="91" spans="1:12">
      <c r="A91" t="s">
        <v>27</v>
      </c>
      <c r="B91" t="s">
        <v>6</v>
      </c>
      <c r="C91" t="s">
        <v>8</v>
      </c>
      <c r="D91" t="s">
        <v>24</v>
      </c>
      <c r="E91">
        <v>654</v>
      </c>
      <c r="F91">
        <v>0</v>
      </c>
      <c r="G91">
        <v>0</v>
      </c>
      <c r="H91">
        <v>0</v>
      </c>
      <c r="I91">
        <v>0</v>
      </c>
      <c r="J91">
        <v>0</v>
      </c>
      <c r="L91">
        <f t="shared" si="2"/>
        <v>0</v>
      </c>
    </row>
    <row r="92" spans="1:12">
      <c r="A92" t="s">
        <v>27</v>
      </c>
      <c r="B92" t="s">
        <v>6</v>
      </c>
      <c r="C92" t="s">
        <v>8</v>
      </c>
      <c r="D92" t="s">
        <v>25</v>
      </c>
      <c r="E92">
        <v>654</v>
      </c>
      <c r="F92">
        <v>0</v>
      </c>
      <c r="G92">
        <v>0</v>
      </c>
      <c r="H92">
        <v>0</v>
      </c>
      <c r="I92">
        <v>0</v>
      </c>
      <c r="J92">
        <v>0</v>
      </c>
      <c r="L92">
        <f t="shared" si="2"/>
        <v>0</v>
      </c>
    </row>
    <row r="93" spans="1:12">
      <c r="A93" t="s">
        <v>27</v>
      </c>
      <c r="B93" t="s">
        <v>6</v>
      </c>
      <c r="C93" t="s">
        <v>9</v>
      </c>
      <c r="D93" t="s">
        <v>19</v>
      </c>
      <c r="E93">
        <v>640</v>
      </c>
      <c r="F93">
        <v>50</v>
      </c>
      <c r="G93">
        <v>46.09375</v>
      </c>
      <c r="H93">
        <v>-3.90625</v>
      </c>
      <c r="I93">
        <v>-7.65625</v>
      </c>
      <c r="J93">
        <v>0.00390624999997874</v>
      </c>
      <c r="L93">
        <f t="shared" si="2"/>
        <v>-3.90625</v>
      </c>
    </row>
    <row r="94" spans="1:12">
      <c r="A94" t="s">
        <v>27</v>
      </c>
      <c r="B94" t="s">
        <v>6</v>
      </c>
      <c r="C94" t="s">
        <v>9</v>
      </c>
      <c r="D94" t="s">
        <v>20</v>
      </c>
      <c r="E94">
        <v>640</v>
      </c>
      <c r="F94">
        <v>0</v>
      </c>
      <c r="G94">
        <v>0</v>
      </c>
      <c r="H94">
        <v>0</v>
      </c>
      <c r="I94">
        <v>0</v>
      </c>
      <c r="J94">
        <v>0</v>
      </c>
      <c r="L94">
        <f t="shared" si="2"/>
        <v>0</v>
      </c>
    </row>
    <row r="95" spans="1:12">
      <c r="A95" t="s">
        <v>27</v>
      </c>
      <c r="B95" t="s">
        <v>6</v>
      </c>
      <c r="C95" t="s">
        <v>9</v>
      </c>
      <c r="D95" t="s">
        <v>21</v>
      </c>
      <c r="E95">
        <v>640</v>
      </c>
      <c r="F95">
        <v>36.875</v>
      </c>
      <c r="G95">
        <v>39.21875</v>
      </c>
      <c r="H95">
        <v>2.34375</v>
      </c>
      <c r="I95">
        <v>-2.03125</v>
      </c>
      <c r="J95">
        <v>6.71875</v>
      </c>
      <c r="L95">
        <f t="shared" si="2"/>
        <v>2.34375</v>
      </c>
    </row>
    <row r="96" spans="1:12">
      <c r="A96" t="s">
        <v>27</v>
      </c>
      <c r="B96" t="s">
        <v>6</v>
      </c>
      <c r="C96" t="s">
        <v>9</v>
      </c>
      <c r="D96" t="s">
        <v>22</v>
      </c>
      <c r="E96">
        <v>640</v>
      </c>
      <c r="F96">
        <v>4.6875</v>
      </c>
      <c r="G96">
        <v>7.65625</v>
      </c>
      <c r="H96">
        <v>2.96875</v>
      </c>
      <c r="I96">
        <v>0.46875</v>
      </c>
      <c r="J96">
        <v>5.625</v>
      </c>
      <c r="L96">
        <f t="shared" si="2"/>
        <v>2.96875</v>
      </c>
    </row>
    <row r="97" spans="1:12">
      <c r="A97" t="s">
        <v>27</v>
      </c>
      <c r="B97" t="s">
        <v>6</v>
      </c>
      <c r="C97" t="s">
        <v>9</v>
      </c>
      <c r="D97" t="s">
        <v>23</v>
      </c>
      <c r="E97">
        <v>640</v>
      </c>
      <c r="F97">
        <v>7.65625</v>
      </c>
      <c r="G97">
        <v>6.09375</v>
      </c>
      <c r="H97">
        <v>-1.5625</v>
      </c>
      <c r="I97">
        <v>-4.21875</v>
      </c>
      <c r="J97">
        <v>1.09375</v>
      </c>
      <c r="L97">
        <f t="shared" si="2"/>
        <v>-1.5625</v>
      </c>
    </row>
    <row r="98" spans="1:12">
      <c r="A98" t="s">
        <v>27</v>
      </c>
      <c r="B98" t="s">
        <v>6</v>
      </c>
      <c r="C98" t="s">
        <v>9</v>
      </c>
      <c r="D98" t="s">
        <v>24</v>
      </c>
      <c r="E98">
        <v>640</v>
      </c>
      <c r="F98">
        <v>0.78125</v>
      </c>
      <c r="G98">
        <v>0.9375</v>
      </c>
      <c r="H98">
        <v>0.15625</v>
      </c>
      <c r="I98">
        <v>-0.78125</v>
      </c>
      <c r="J98">
        <v>1.09375</v>
      </c>
      <c r="L98">
        <f t="shared" si="2"/>
        <v>0.15625</v>
      </c>
    </row>
    <row r="99" spans="1:12">
      <c r="A99" t="s">
        <v>27</v>
      </c>
      <c r="B99" t="s">
        <v>6</v>
      </c>
      <c r="C99" t="s">
        <v>9</v>
      </c>
      <c r="D99" t="s">
        <v>25</v>
      </c>
      <c r="E99">
        <v>640</v>
      </c>
      <c r="F99">
        <v>0</v>
      </c>
      <c r="G99">
        <v>0</v>
      </c>
      <c r="H99">
        <v>0</v>
      </c>
      <c r="I99">
        <v>0</v>
      </c>
      <c r="J99">
        <v>0</v>
      </c>
      <c r="L99">
        <f>G99-F99</f>
        <v>0</v>
      </c>
    </row>
    <row r="100" spans="1:12">
      <c r="A100" t="s">
        <v>27</v>
      </c>
      <c r="B100" t="s">
        <v>6</v>
      </c>
      <c r="C100" t="s">
        <v>10</v>
      </c>
      <c r="D100" t="s">
        <v>19</v>
      </c>
      <c r="E100">
        <v>1319</v>
      </c>
      <c r="F100">
        <v>74.9052312357847</v>
      </c>
      <c r="G100">
        <v>84.4579226686884</v>
      </c>
      <c r="H100">
        <v>9.55269143290371</v>
      </c>
      <c r="I100">
        <v>7.42987111448067</v>
      </c>
      <c r="J100">
        <v>11.6015921152388</v>
      </c>
      <c r="L100">
        <f>G100-F100</f>
        <v>9.5526914329037</v>
      </c>
    </row>
    <row r="101" spans="1:12">
      <c r="A101" t="s">
        <v>27</v>
      </c>
      <c r="B101" t="s">
        <v>6</v>
      </c>
      <c r="C101" t="s">
        <v>10</v>
      </c>
      <c r="D101" t="s">
        <v>20</v>
      </c>
      <c r="E101">
        <v>1319</v>
      </c>
      <c r="F101">
        <v>0</v>
      </c>
      <c r="G101">
        <v>0</v>
      </c>
      <c r="H101">
        <v>0</v>
      </c>
      <c r="I101">
        <v>0</v>
      </c>
      <c r="J101">
        <v>0</v>
      </c>
      <c r="L101">
        <f>G101-F101</f>
        <v>0</v>
      </c>
    </row>
    <row r="102" spans="1:12">
      <c r="A102" t="s">
        <v>27</v>
      </c>
      <c r="B102" t="s">
        <v>6</v>
      </c>
      <c r="C102" t="s">
        <v>10</v>
      </c>
      <c r="D102" t="s">
        <v>21</v>
      </c>
      <c r="E102">
        <v>1319</v>
      </c>
      <c r="F102">
        <v>18.9537528430629</v>
      </c>
      <c r="G102">
        <v>12.5852918877938</v>
      </c>
      <c r="H102">
        <v>-6.36846095526914</v>
      </c>
      <c r="I102">
        <v>-8.41546626231994</v>
      </c>
      <c r="J102">
        <v>-4.2456406368461</v>
      </c>
      <c r="L102">
        <f>G102-F102</f>
        <v>-6.3684609552691</v>
      </c>
    </row>
    <row r="103" spans="1:12">
      <c r="A103" t="s">
        <v>27</v>
      </c>
      <c r="B103" t="s">
        <v>6</v>
      </c>
      <c r="C103" t="s">
        <v>10</v>
      </c>
      <c r="D103" t="s">
        <v>22</v>
      </c>
      <c r="E103">
        <v>1319</v>
      </c>
      <c r="F103">
        <v>2.80515542077331</v>
      </c>
      <c r="G103">
        <v>0.682335102350265</v>
      </c>
      <c r="H103">
        <v>-2.12282031842305</v>
      </c>
      <c r="I103">
        <v>-3.10841546626232</v>
      </c>
      <c r="J103">
        <v>-1.13722517058378</v>
      </c>
      <c r="L103">
        <f>G103-F103</f>
        <v>-2.12282031842305</v>
      </c>
    </row>
    <row r="104" spans="1:12">
      <c r="A104" t="s">
        <v>27</v>
      </c>
      <c r="B104" t="s">
        <v>6</v>
      </c>
      <c r="C104" t="s">
        <v>10</v>
      </c>
      <c r="D104" t="s">
        <v>23</v>
      </c>
      <c r="E104">
        <v>1319</v>
      </c>
      <c r="F104">
        <v>3.26004548900682</v>
      </c>
      <c r="G104">
        <v>2.0470053070508</v>
      </c>
      <c r="H104">
        <v>-1.21304018195603</v>
      </c>
      <c r="I104">
        <v>-2.27634571645186</v>
      </c>
      <c r="J104">
        <v>-0.151630022744503</v>
      </c>
      <c r="L104">
        <f>G104-F104</f>
        <v>-1.21304018195602</v>
      </c>
    </row>
    <row r="105" spans="1:12">
      <c r="A105" t="s">
        <v>27</v>
      </c>
      <c r="B105" t="s">
        <v>6</v>
      </c>
      <c r="C105" t="s">
        <v>10</v>
      </c>
      <c r="D105" t="s">
        <v>24</v>
      </c>
      <c r="E105">
        <v>1319</v>
      </c>
      <c r="F105">
        <v>0.0758150113722517</v>
      </c>
      <c r="G105">
        <v>0.227445034116755</v>
      </c>
      <c r="H105">
        <v>0.151630022744503</v>
      </c>
      <c r="I105">
        <v>-0.0758150113722517</v>
      </c>
      <c r="J105">
        <v>0.45489006823351</v>
      </c>
      <c r="L105">
        <f>G105-F105</f>
        <v>0.151630022744503</v>
      </c>
    </row>
    <row r="106" spans="1:12">
      <c r="A106" t="s">
        <v>27</v>
      </c>
      <c r="B106" t="s">
        <v>6</v>
      </c>
      <c r="C106" t="s">
        <v>10</v>
      </c>
      <c r="D106" t="s">
        <v>25</v>
      </c>
      <c r="E106">
        <v>1319</v>
      </c>
      <c r="F106">
        <v>0</v>
      </c>
      <c r="G106">
        <v>0</v>
      </c>
      <c r="H106">
        <v>0</v>
      </c>
      <c r="I106">
        <v>0</v>
      </c>
      <c r="J106">
        <v>0</v>
      </c>
      <c r="L106">
        <f>G106-F106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J5" sqref="J5"/>
    </sheetView>
  </sheetViews>
  <sheetFormatPr defaultColWidth="9" defaultRowHeight="14"/>
  <cols>
    <col min="5" max="5" width="16.4545454545455" customWidth="1"/>
    <col min="6" max="6" width="14" customWidth="1"/>
    <col min="7" max="7" width="17.7272727272727" customWidth="1"/>
    <col min="8" max="8" width="20.1818181818182" customWidth="1"/>
    <col min="9" max="9" width="21.3636363636364" customWidth="1"/>
    <col min="10" max="10" width="18.5454545454545" customWidth="1"/>
  </cols>
  <sheetData>
    <row r="1" spans="1:10">
      <c r="A1" s="1" t="s">
        <v>11</v>
      </c>
      <c r="B1" s="1" t="s">
        <v>0</v>
      </c>
      <c r="C1" s="1" t="s">
        <v>12</v>
      </c>
      <c r="D1" s="1" t="s">
        <v>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28</v>
      </c>
    </row>
    <row r="2" spans="1:10">
      <c r="A2" t="s">
        <v>18</v>
      </c>
      <c r="B2" t="s">
        <v>2</v>
      </c>
      <c r="C2" t="s">
        <v>19</v>
      </c>
      <c r="D2">
        <v>2613</v>
      </c>
      <c r="E2">
        <v>60.7347876004592</v>
      </c>
      <c r="F2">
        <v>69.2307692307692</v>
      </c>
      <c r="G2">
        <v>8.49598163030999</v>
      </c>
      <c r="H2">
        <v>7.19479525449676</v>
      </c>
      <c r="I2">
        <v>9.75889781859932</v>
      </c>
      <c r="J2" t="s">
        <v>29</v>
      </c>
    </row>
    <row r="3" spans="1:10">
      <c r="A3" t="s">
        <v>18</v>
      </c>
      <c r="B3" t="s">
        <v>2</v>
      </c>
      <c r="C3" t="s">
        <v>20</v>
      </c>
      <c r="D3">
        <v>2613</v>
      </c>
      <c r="E3">
        <v>5.70225794106391</v>
      </c>
      <c r="F3">
        <v>2.94680443934175</v>
      </c>
      <c r="G3">
        <v>-2.75545350172216</v>
      </c>
      <c r="H3">
        <v>-3.71220818982013</v>
      </c>
      <c r="I3">
        <v>-1.79774205893609</v>
      </c>
      <c r="J3" t="s">
        <v>30</v>
      </c>
    </row>
    <row r="4" spans="1:10">
      <c r="A4" t="s">
        <v>18</v>
      </c>
      <c r="B4" t="s">
        <v>2</v>
      </c>
      <c r="C4" t="s">
        <v>21</v>
      </c>
      <c r="D4">
        <v>2613</v>
      </c>
      <c r="E4">
        <v>23.6509758897819</v>
      </c>
      <c r="F4">
        <v>18.6758515116724</v>
      </c>
      <c r="G4">
        <v>-4.97512437810945</v>
      </c>
      <c r="H4">
        <v>-6.39112131649445</v>
      </c>
      <c r="I4">
        <v>-3.63566781477229</v>
      </c>
      <c r="J4" t="s">
        <v>31</v>
      </c>
    </row>
    <row r="5" spans="1:10">
      <c r="A5" t="s">
        <v>18</v>
      </c>
      <c r="B5" t="s">
        <v>2</v>
      </c>
      <c r="C5" t="s">
        <v>22</v>
      </c>
      <c r="D5">
        <v>2613</v>
      </c>
      <c r="E5">
        <v>6.23804056639878</v>
      </c>
      <c r="F5">
        <v>5.66398775353999</v>
      </c>
      <c r="G5">
        <v>-0.574052812858783</v>
      </c>
      <c r="H5">
        <v>-1.56907768848067</v>
      </c>
      <c r="I5">
        <v>0.497512437810944</v>
      </c>
      <c r="J5" t="s">
        <v>32</v>
      </c>
    </row>
    <row r="6" spans="1:10">
      <c r="A6" t="s">
        <v>18</v>
      </c>
      <c r="B6" t="s">
        <v>2</v>
      </c>
      <c r="C6" t="s">
        <v>23</v>
      </c>
      <c r="D6">
        <v>2613</v>
      </c>
      <c r="E6">
        <v>3.36777650210486</v>
      </c>
      <c r="F6">
        <v>3.02334481438959</v>
      </c>
      <c r="G6">
        <v>-0.34443168771527</v>
      </c>
      <c r="H6">
        <v>-1.10983543819365</v>
      </c>
      <c r="I6">
        <v>0.420972062763107</v>
      </c>
      <c r="J6" t="s">
        <v>33</v>
      </c>
    </row>
    <row r="7" spans="1:10">
      <c r="A7" t="s">
        <v>18</v>
      </c>
      <c r="B7" t="s">
        <v>2</v>
      </c>
      <c r="C7" t="s">
        <v>24</v>
      </c>
      <c r="D7">
        <v>2613</v>
      </c>
      <c r="E7">
        <v>0.306161500191351</v>
      </c>
      <c r="F7">
        <v>0.459242250287026</v>
      </c>
      <c r="G7">
        <v>0.153080750095676</v>
      </c>
      <c r="H7">
        <v>-0.114810562571757</v>
      </c>
      <c r="I7">
        <v>0.420972062763108</v>
      </c>
      <c r="J7" t="s">
        <v>34</v>
      </c>
    </row>
    <row r="8" spans="1:10">
      <c r="A8" t="s">
        <v>18</v>
      </c>
      <c r="B8" t="s">
        <v>3</v>
      </c>
      <c r="C8" t="s">
        <v>19</v>
      </c>
      <c r="D8">
        <v>2613</v>
      </c>
      <c r="E8">
        <v>71.1060084194413</v>
      </c>
      <c r="F8">
        <v>77.1909682357443</v>
      </c>
      <c r="G8">
        <v>6.08495981630309</v>
      </c>
      <c r="H8">
        <v>4.89858400306161</v>
      </c>
      <c r="I8">
        <v>7.27133562954458</v>
      </c>
      <c r="J8" t="s">
        <v>35</v>
      </c>
    </row>
    <row r="9" spans="1:10">
      <c r="A9" t="s">
        <v>18</v>
      </c>
      <c r="B9" t="s">
        <v>3</v>
      </c>
      <c r="C9" t="s">
        <v>20</v>
      </c>
      <c r="D9">
        <v>2613</v>
      </c>
      <c r="E9">
        <v>8.1132797550708</v>
      </c>
      <c r="F9">
        <v>3.71220818982013</v>
      </c>
      <c r="G9">
        <v>-4.40107156525067</v>
      </c>
      <c r="H9">
        <v>-5.4726368159204</v>
      </c>
      <c r="I9">
        <v>-3.36777650210486</v>
      </c>
      <c r="J9" t="s">
        <v>36</v>
      </c>
    </row>
    <row r="10" spans="1:10">
      <c r="A10" t="s">
        <v>18</v>
      </c>
      <c r="B10" t="s">
        <v>3</v>
      </c>
      <c r="C10" t="s">
        <v>21</v>
      </c>
      <c r="D10">
        <v>2613</v>
      </c>
      <c r="E10">
        <v>16.9154228855721</v>
      </c>
      <c r="F10">
        <v>15.3846153846154</v>
      </c>
      <c r="G10">
        <v>-1.53080750095675</v>
      </c>
      <c r="H10">
        <v>-2.56410256410257</v>
      </c>
      <c r="I10">
        <v>-0.497512437810946</v>
      </c>
      <c r="J10" t="s">
        <v>37</v>
      </c>
    </row>
    <row r="11" spans="1:10">
      <c r="A11" t="s">
        <v>18</v>
      </c>
      <c r="B11" t="s">
        <v>3</v>
      </c>
      <c r="C11" t="s">
        <v>22</v>
      </c>
      <c r="D11">
        <v>2613</v>
      </c>
      <c r="E11">
        <v>1.64561806352851</v>
      </c>
      <c r="F11">
        <v>1.68388825105243</v>
      </c>
      <c r="G11">
        <v>0.0382701875239189</v>
      </c>
      <c r="H11">
        <v>-0.497512437810945</v>
      </c>
      <c r="I11">
        <v>0.612323000382702</v>
      </c>
      <c r="J11" t="s">
        <v>38</v>
      </c>
    </row>
    <row r="12" spans="1:10">
      <c r="A12" t="s">
        <v>18</v>
      </c>
      <c r="B12" t="s">
        <v>3</v>
      </c>
      <c r="C12" t="s">
        <v>23</v>
      </c>
      <c r="D12">
        <v>2613</v>
      </c>
      <c r="E12">
        <v>2.0283199387677</v>
      </c>
      <c r="F12">
        <v>1.79869881362419</v>
      </c>
      <c r="G12">
        <v>-0.229621125143513</v>
      </c>
      <c r="H12">
        <v>-0.803673938002296</v>
      </c>
      <c r="I12">
        <v>0.382701875239189</v>
      </c>
      <c r="J12" t="s">
        <v>39</v>
      </c>
    </row>
    <row r="13" spans="1:10">
      <c r="A13" t="s">
        <v>18</v>
      </c>
      <c r="B13" t="s">
        <v>3</v>
      </c>
      <c r="C13" t="s">
        <v>24</v>
      </c>
      <c r="D13">
        <v>2613</v>
      </c>
      <c r="E13">
        <v>0.191350937619594</v>
      </c>
      <c r="F13">
        <v>0.229621125143513</v>
      </c>
      <c r="G13">
        <v>0.0382701875239189</v>
      </c>
      <c r="H13">
        <v>-0.153080750095676</v>
      </c>
      <c r="I13">
        <v>0.229621125143513</v>
      </c>
      <c r="J13" t="s">
        <v>40</v>
      </c>
    </row>
    <row r="14" spans="1:10">
      <c r="A14" t="s">
        <v>18</v>
      </c>
      <c r="B14" t="s">
        <v>4</v>
      </c>
      <c r="C14" t="s">
        <v>19</v>
      </c>
      <c r="D14">
        <v>2613</v>
      </c>
      <c r="E14">
        <v>60.3138155376961</v>
      </c>
      <c r="F14">
        <v>73.4404898584003</v>
      </c>
      <c r="G14">
        <v>13.1266743207042</v>
      </c>
      <c r="H14">
        <v>11.6341370072713</v>
      </c>
      <c r="I14">
        <v>14.5426712590892</v>
      </c>
      <c r="J14" t="s">
        <v>41</v>
      </c>
    </row>
    <row r="15" spans="1:10">
      <c r="A15" t="s">
        <v>18</v>
      </c>
      <c r="B15" t="s">
        <v>4</v>
      </c>
      <c r="C15" t="s">
        <v>20</v>
      </c>
      <c r="D15">
        <v>2613</v>
      </c>
      <c r="E15">
        <v>24.7990815154994</v>
      </c>
      <c r="F15">
        <v>8.80214313050134</v>
      </c>
      <c r="G15">
        <v>-15.9969383849981</v>
      </c>
      <c r="H15">
        <v>-17.451205510907</v>
      </c>
      <c r="I15">
        <v>-14.4269039418293</v>
      </c>
      <c r="J15" t="s">
        <v>42</v>
      </c>
    </row>
    <row r="16" spans="1:10">
      <c r="A16" t="s">
        <v>18</v>
      </c>
      <c r="B16" t="s">
        <v>4</v>
      </c>
      <c r="C16" t="s">
        <v>21</v>
      </c>
      <c r="D16">
        <v>2613</v>
      </c>
      <c r="E16">
        <v>12.9735935706085</v>
      </c>
      <c r="F16">
        <v>15.1167240719479</v>
      </c>
      <c r="G16">
        <v>2.14313050133945</v>
      </c>
      <c r="H16">
        <v>0.995024875621889</v>
      </c>
      <c r="I16">
        <v>3.32950631458094</v>
      </c>
      <c r="J16" t="s">
        <v>43</v>
      </c>
    </row>
    <row r="17" spans="1:10">
      <c r="A17" t="s">
        <v>18</v>
      </c>
      <c r="B17" t="s">
        <v>4</v>
      </c>
      <c r="C17" t="s">
        <v>22</v>
      </c>
      <c r="D17">
        <v>2613</v>
      </c>
      <c r="E17">
        <v>0.841944125526215</v>
      </c>
      <c r="F17">
        <v>1.2246460007654</v>
      </c>
      <c r="G17">
        <v>0.382701875239189</v>
      </c>
      <c r="H17">
        <v>-0.0765403750478378</v>
      </c>
      <c r="I17">
        <v>0.880214313050134</v>
      </c>
      <c r="J17" t="s">
        <v>44</v>
      </c>
    </row>
    <row r="18" spans="1:10">
      <c r="A18" t="s">
        <v>18</v>
      </c>
      <c r="B18" t="s">
        <v>4</v>
      </c>
      <c r="C18" t="s">
        <v>23</v>
      </c>
      <c r="D18">
        <v>2613</v>
      </c>
      <c r="E18">
        <v>1.07156525066973</v>
      </c>
      <c r="F18">
        <v>1.30118637581324</v>
      </c>
      <c r="G18">
        <v>0.229621125143513</v>
      </c>
      <c r="H18">
        <v>-0.192307692307692</v>
      </c>
      <c r="I18">
        <v>0.650593187906621</v>
      </c>
      <c r="J18" t="s">
        <v>45</v>
      </c>
    </row>
    <row r="19" spans="1:10">
      <c r="A19" t="s">
        <v>18</v>
      </c>
      <c r="B19" t="s">
        <v>4</v>
      </c>
      <c r="C19" t="s">
        <v>24</v>
      </c>
      <c r="D19">
        <v>2613</v>
      </c>
      <c r="E19">
        <v>0</v>
      </c>
      <c r="F19">
        <v>0.114810562571757</v>
      </c>
      <c r="G19">
        <v>0.114810562571757</v>
      </c>
      <c r="H19">
        <v>0</v>
      </c>
      <c r="I19">
        <v>0.267891312667432</v>
      </c>
      <c r="J19" t="s">
        <v>46</v>
      </c>
    </row>
    <row r="20" spans="1:10">
      <c r="A20" t="s">
        <v>18</v>
      </c>
      <c r="B20" t="s">
        <v>5</v>
      </c>
      <c r="C20" t="s">
        <v>19</v>
      </c>
      <c r="D20">
        <v>2613</v>
      </c>
      <c r="E20">
        <v>69.2690394182932</v>
      </c>
      <c r="F20">
        <v>71.4121699196326</v>
      </c>
      <c r="G20">
        <v>2.14313050133945</v>
      </c>
      <c r="H20">
        <v>0.841944125526217</v>
      </c>
      <c r="I20">
        <v>3.48354381936472</v>
      </c>
      <c r="J20" t="s">
        <v>47</v>
      </c>
    </row>
    <row r="21" spans="1:10">
      <c r="A21" t="s">
        <v>18</v>
      </c>
      <c r="B21" t="s">
        <v>5</v>
      </c>
      <c r="C21" t="s">
        <v>20</v>
      </c>
      <c r="D21">
        <v>2613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48</v>
      </c>
    </row>
    <row r="22" spans="1:10">
      <c r="A22" t="s">
        <v>18</v>
      </c>
      <c r="B22" t="s">
        <v>5</v>
      </c>
      <c r="C22" t="s">
        <v>21</v>
      </c>
      <c r="D22">
        <v>2613</v>
      </c>
      <c r="E22">
        <v>22.4263298890165</v>
      </c>
      <c r="F22">
        <v>19.326444699579</v>
      </c>
      <c r="G22">
        <v>-3.09988518943743</v>
      </c>
      <c r="H22">
        <v>-4.59242250287027</v>
      </c>
      <c r="I22">
        <v>-1.68388825105243</v>
      </c>
      <c r="J22" t="s">
        <v>49</v>
      </c>
    </row>
    <row r="23" spans="1:10">
      <c r="A23" t="s">
        <v>18</v>
      </c>
      <c r="B23" t="s">
        <v>5</v>
      </c>
      <c r="C23" t="s">
        <v>22</v>
      </c>
      <c r="D23">
        <v>2613</v>
      </c>
      <c r="E23">
        <v>4.63069269039418</v>
      </c>
      <c r="F23">
        <v>6.35285112897053</v>
      </c>
      <c r="G23">
        <v>1.72215843857635</v>
      </c>
      <c r="H23">
        <v>0.764446995790279</v>
      </c>
      <c r="I23">
        <v>2.67891312667432</v>
      </c>
      <c r="J23" t="s">
        <v>50</v>
      </c>
    </row>
    <row r="24" spans="1:10">
      <c r="A24" t="s">
        <v>18</v>
      </c>
      <c r="B24" t="s">
        <v>5</v>
      </c>
      <c r="C24" t="s">
        <v>23</v>
      </c>
      <c r="D24">
        <v>2613</v>
      </c>
      <c r="E24">
        <v>3.67393800229621</v>
      </c>
      <c r="F24">
        <v>2.90853425181783</v>
      </c>
      <c r="G24">
        <v>-0.765403750478377</v>
      </c>
      <c r="H24">
        <v>-1.49253731343284</v>
      </c>
      <c r="I24">
        <v>0</v>
      </c>
      <c r="J24" t="s">
        <v>51</v>
      </c>
    </row>
    <row r="25" spans="1:10">
      <c r="A25" t="s">
        <v>18</v>
      </c>
      <c r="B25" t="s">
        <v>5</v>
      </c>
      <c r="C25" t="s">
        <v>24</v>
      </c>
      <c r="D25">
        <v>2613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48</v>
      </c>
    </row>
    <row r="26" spans="1:10">
      <c r="A26" t="s">
        <v>18</v>
      </c>
      <c r="B26" t="s">
        <v>6</v>
      </c>
      <c r="C26" t="s">
        <v>19</v>
      </c>
      <c r="D26">
        <v>2613</v>
      </c>
      <c r="E26">
        <v>73.3256792958286</v>
      </c>
      <c r="F26">
        <v>77.5736701109835</v>
      </c>
      <c r="G26">
        <v>4.24799081515499</v>
      </c>
      <c r="H26">
        <v>2.83199387676999</v>
      </c>
      <c r="I26">
        <v>5.74148488327592</v>
      </c>
      <c r="J26" t="s">
        <v>52</v>
      </c>
    </row>
    <row r="27" spans="1:10">
      <c r="A27" t="s">
        <v>18</v>
      </c>
      <c r="B27" t="s">
        <v>6</v>
      </c>
      <c r="C27" t="s">
        <v>20</v>
      </c>
      <c r="D27">
        <v>2613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48</v>
      </c>
    </row>
    <row r="28" spans="1:10">
      <c r="A28" t="s">
        <v>18</v>
      </c>
      <c r="B28" t="s">
        <v>6</v>
      </c>
      <c r="C28" t="s">
        <v>21</v>
      </c>
      <c r="D28">
        <v>2613</v>
      </c>
      <c r="E28">
        <v>20.0153080750096</v>
      </c>
      <c r="F28">
        <v>17.2215843857635</v>
      </c>
      <c r="G28">
        <v>-2.79372368924607</v>
      </c>
      <c r="H28">
        <v>-4.36280137772675</v>
      </c>
      <c r="I28">
        <v>-1.2246460007654</v>
      </c>
      <c r="J28" t="s">
        <v>53</v>
      </c>
    </row>
    <row r="29" spans="1:10">
      <c r="A29" t="s">
        <v>18</v>
      </c>
      <c r="B29" t="s">
        <v>6</v>
      </c>
      <c r="C29" t="s">
        <v>22</v>
      </c>
      <c r="D29">
        <v>2613</v>
      </c>
      <c r="E29">
        <v>2.90853425181783</v>
      </c>
      <c r="F29">
        <v>2.29621125143513</v>
      </c>
      <c r="G29">
        <v>-0.612323000382702</v>
      </c>
      <c r="H29">
        <v>-1.49253731343284</v>
      </c>
      <c r="I29">
        <v>0.191350937619594</v>
      </c>
      <c r="J29" t="s">
        <v>54</v>
      </c>
    </row>
    <row r="30" spans="1:10">
      <c r="A30" t="s">
        <v>18</v>
      </c>
      <c r="B30" t="s">
        <v>6</v>
      </c>
      <c r="C30" t="s">
        <v>23</v>
      </c>
      <c r="D30">
        <v>2613</v>
      </c>
      <c r="E30">
        <v>3.52085725220053</v>
      </c>
      <c r="F30">
        <v>2.56410256410256</v>
      </c>
      <c r="G30">
        <v>-0.956754688097972</v>
      </c>
      <c r="H30">
        <v>-1.83696900114811</v>
      </c>
      <c r="I30">
        <v>-0.0765403750478379</v>
      </c>
      <c r="J30" t="s">
        <v>55</v>
      </c>
    </row>
    <row r="31" spans="1:10">
      <c r="A31" t="s">
        <v>18</v>
      </c>
      <c r="B31" t="s">
        <v>6</v>
      </c>
      <c r="C31" t="s">
        <v>24</v>
      </c>
      <c r="D31">
        <v>2613</v>
      </c>
      <c r="E31">
        <v>0.229621125143513</v>
      </c>
      <c r="F31">
        <v>0.34443168771527</v>
      </c>
      <c r="G31">
        <v>0.114810562571757</v>
      </c>
      <c r="H31">
        <v>-0.153080750095676</v>
      </c>
      <c r="I31">
        <v>0.382701875239189</v>
      </c>
      <c r="J31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workbookViewId="0">
      <selection activeCell="A1" sqref="A1"/>
    </sheetView>
  </sheetViews>
  <sheetFormatPr defaultColWidth="9" defaultRowHeight="14"/>
  <cols>
    <col min="6" max="6" width="16.4545454545455" customWidth="1"/>
    <col min="7" max="7" width="14" customWidth="1"/>
    <col min="8" max="8" width="17.7272727272727" customWidth="1"/>
    <col min="9" max="9" width="20.1818181818182" customWidth="1"/>
    <col min="10" max="10" width="21.3636363636364" customWidth="1"/>
    <col min="11" max="11" width="18.5454545454545" customWidth="1"/>
  </cols>
  <sheetData>
    <row r="1" spans="1:11">
      <c r="A1" s="1" t="s">
        <v>11</v>
      </c>
      <c r="B1" s="1" t="s">
        <v>0</v>
      </c>
      <c r="C1" s="1" t="s">
        <v>7</v>
      </c>
      <c r="D1" s="1" t="s">
        <v>12</v>
      </c>
      <c r="E1" s="1" t="s">
        <v>1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28</v>
      </c>
    </row>
    <row r="2" spans="1:11">
      <c r="A2" t="s">
        <v>27</v>
      </c>
      <c r="B2" t="s">
        <v>2</v>
      </c>
      <c r="C2" t="s">
        <v>8</v>
      </c>
      <c r="D2" t="s">
        <v>19</v>
      </c>
      <c r="E2">
        <v>654</v>
      </c>
      <c r="F2">
        <v>88.2262996941896</v>
      </c>
      <c r="G2">
        <v>91.2844036697248</v>
      </c>
      <c r="H2">
        <v>3.05810397553516</v>
      </c>
      <c r="I2">
        <v>1.37614678899083</v>
      </c>
      <c r="J2">
        <v>4.74006116207951</v>
      </c>
      <c r="K2" t="s">
        <v>57</v>
      </c>
    </row>
    <row r="3" spans="1:11">
      <c r="A3" t="s">
        <v>27</v>
      </c>
      <c r="B3" t="s">
        <v>2</v>
      </c>
      <c r="C3" t="s">
        <v>8</v>
      </c>
      <c r="D3" t="s">
        <v>20</v>
      </c>
      <c r="E3">
        <v>654</v>
      </c>
      <c r="F3">
        <v>0.917431192660551</v>
      </c>
      <c r="G3">
        <v>0.305810397553517</v>
      </c>
      <c r="H3">
        <v>-0.611620795107034</v>
      </c>
      <c r="I3">
        <v>-1.22324159021407</v>
      </c>
      <c r="J3">
        <v>-0.152905198776758</v>
      </c>
      <c r="K3" t="s">
        <v>58</v>
      </c>
    </row>
    <row r="4" spans="1:11">
      <c r="A4" t="s">
        <v>27</v>
      </c>
      <c r="B4" t="s">
        <v>2</v>
      </c>
      <c r="C4" t="s">
        <v>8</v>
      </c>
      <c r="D4" t="s">
        <v>21</v>
      </c>
      <c r="E4">
        <v>654</v>
      </c>
      <c r="F4">
        <v>7.64525993883792</v>
      </c>
      <c r="G4">
        <v>5.96330275229358</v>
      </c>
      <c r="H4">
        <v>-1.68195718654434</v>
      </c>
      <c r="I4">
        <v>-3.21100917431193</v>
      </c>
      <c r="J4">
        <v>-0.305810397553516</v>
      </c>
      <c r="K4" t="s">
        <v>59</v>
      </c>
    </row>
    <row r="5" spans="1:11">
      <c r="A5" t="s">
        <v>27</v>
      </c>
      <c r="B5" t="s">
        <v>2</v>
      </c>
      <c r="C5" t="s">
        <v>8</v>
      </c>
      <c r="D5" t="s">
        <v>22</v>
      </c>
      <c r="E5">
        <v>654</v>
      </c>
      <c r="F5">
        <v>3.05810397553517</v>
      </c>
      <c r="G5">
        <v>2.14067278287462</v>
      </c>
      <c r="H5">
        <v>-0.917431192660551</v>
      </c>
      <c r="I5">
        <v>-1.98776758409786</v>
      </c>
      <c r="J5">
        <v>0.156727828746157</v>
      </c>
      <c r="K5" t="s">
        <v>60</v>
      </c>
    </row>
    <row r="6" spans="1:11">
      <c r="A6" t="s">
        <v>27</v>
      </c>
      <c r="B6" t="s">
        <v>2</v>
      </c>
      <c r="C6" t="s">
        <v>8</v>
      </c>
      <c r="D6" t="s">
        <v>23</v>
      </c>
      <c r="E6">
        <v>654</v>
      </c>
      <c r="F6">
        <v>0</v>
      </c>
      <c r="G6">
        <v>0.152905198776758</v>
      </c>
      <c r="H6">
        <v>0.152905198776758</v>
      </c>
      <c r="I6">
        <v>0</v>
      </c>
      <c r="J6">
        <v>0.458715596330275</v>
      </c>
      <c r="K6" t="s">
        <v>61</v>
      </c>
    </row>
    <row r="7" spans="1:11">
      <c r="A7" t="s">
        <v>27</v>
      </c>
      <c r="B7" t="s">
        <v>2</v>
      </c>
      <c r="C7" t="s">
        <v>8</v>
      </c>
      <c r="D7" t="s">
        <v>24</v>
      </c>
      <c r="E7">
        <v>654</v>
      </c>
      <c r="F7">
        <v>0.152905198776758</v>
      </c>
      <c r="G7">
        <v>0.152905198776758</v>
      </c>
      <c r="H7">
        <v>0</v>
      </c>
      <c r="I7">
        <v>0</v>
      </c>
      <c r="J7">
        <v>0</v>
      </c>
      <c r="K7" t="s">
        <v>48</v>
      </c>
    </row>
    <row r="8" spans="1:11">
      <c r="A8" t="s">
        <v>27</v>
      </c>
      <c r="B8" t="s">
        <v>2</v>
      </c>
      <c r="C8" t="s">
        <v>9</v>
      </c>
      <c r="D8" t="s">
        <v>19</v>
      </c>
      <c r="E8">
        <v>640</v>
      </c>
      <c r="F8">
        <v>34.84375</v>
      </c>
      <c r="G8">
        <v>44.375</v>
      </c>
      <c r="H8">
        <v>9.53125</v>
      </c>
      <c r="I8">
        <v>6.875</v>
      </c>
      <c r="J8">
        <v>12.34375</v>
      </c>
      <c r="K8" t="s">
        <v>62</v>
      </c>
    </row>
    <row r="9" spans="1:11">
      <c r="A9" t="s">
        <v>27</v>
      </c>
      <c r="B9" t="s">
        <v>2</v>
      </c>
      <c r="C9" t="s">
        <v>9</v>
      </c>
      <c r="D9" t="s">
        <v>20</v>
      </c>
      <c r="E9">
        <v>640</v>
      </c>
      <c r="F9">
        <v>10.46875</v>
      </c>
      <c r="G9">
        <v>7.5</v>
      </c>
      <c r="H9">
        <v>-2.96875</v>
      </c>
      <c r="I9">
        <v>-5.46875</v>
      </c>
      <c r="J9">
        <v>-0.46875</v>
      </c>
      <c r="K9" t="s">
        <v>63</v>
      </c>
    </row>
    <row r="10" spans="1:11">
      <c r="A10" t="s">
        <v>27</v>
      </c>
      <c r="B10" t="s">
        <v>2</v>
      </c>
      <c r="C10" t="s">
        <v>9</v>
      </c>
      <c r="D10" t="s">
        <v>21</v>
      </c>
      <c r="E10">
        <v>640</v>
      </c>
      <c r="F10">
        <v>40.78125</v>
      </c>
      <c r="G10">
        <v>34.53125</v>
      </c>
      <c r="H10">
        <v>-6.25</v>
      </c>
      <c r="I10">
        <v>-9.84375</v>
      </c>
      <c r="J10">
        <v>-2.8125</v>
      </c>
      <c r="K10" t="s">
        <v>64</v>
      </c>
    </row>
    <row r="11" spans="1:11">
      <c r="A11" t="s">
        <v>27</v>
      </c>
      <c r="B11" t="s">
        <v>2</v>
      </c>
      <c r="C11" t="s">
        <v>9</v>
      </c>
      <c r="D11" t="s">
        <v>22</v>
      </c>
      <c r="E11">
        <v>640</v>
      </c>
      <c r="F11">
        <v>8.125</v>
      </c>
      <c r="G11">
        <v>7.96875</v>
      </c>
      <c r="H11">
        <v>-0.156250000000001</v>
      </c>
      <c r="I11">
        <v>-2.66015625</v>
      </c>
      <c r="J11">
        <v>2.5</v>
      </c>
      <c r="K11" t="s">
        <v>65</v>
      </c>
    </row>
    <row r="12" spans="1:11">
      <c r="A12" t="s">
        <v>27</v>
      </c>
      <c r="B12" t="s">
        <v>2</v>
      </c>
      <c r="C12" t="s">
        <v>9</v>
      </c>
      <c r="D12" t="s">
        <v>23</v>
      </c>
      <c r="E12">
        <v>640</v>
      </c>
      <c r="F12">
        <v>5.625</v>
      </c>
      <c r="G12">
        <v>4.53125</v>
      </c>
      <c r="H12">
        <v>-1.09375</v>
      </c>
      <c r="I12">
        <v>-3.125</v>
      </c>
      <c r="J12">
        <v>0.78125</v>
      </c>
      <c r="K12" t="s">
        <v>66</v>
      </c>
    </row>
    <row r="13" spans="1:11">
      <c r="A13" t="s">
        <v>27</v>
      </c>
      <c r="B13" t="s">
        <v>2</v>
      </c>
      <c r="C13" t="s">
        <v>9</v>
      </c>
      <c r="D13" t="s">
        <v>24</v>
      </c>
      <c r="E13">
        <v>640</v>
      </c>
      <c r="F13">
        <v>0.15625</v>
      </c>
      <c r="G13">
        <v>1.09375</v>
      </c>
      <c r="H13">
        <v>0.9375</v>
      </c>
      <c r="I13">
        <v>0.15625</v>
      </c>
      <c r="J13">
        <v>1.875</v>
      </c>
      <c r="K13" t="s">
        <v>67</v>
      </c>
    </row>
    <row r="14" spans="1:11">
      <c r="A14" t="s">
        <v>27</v>
      </c>
      <c r="B14" t="s">
        <v>2</v>
      </c>
      <c r="C14" t="s">
        <v>10</v>
      </c>
      <c r="D14" t="s">
        <v>19</v>
      </c>
      <c r="E14">
        <v>1319</v>
      </c>
      <c r="F14">
        <v>59.6664139499621</v>
      </c>
      <c r="G14">
        <v>70.3563305534496</v>
      </c>
      <c r="H14">
        <v>10.6899166034875</v>
      </c>
      <c r="I14">
        <v>8.79454131918119</v>
      </c>
      <c r="J14">
        <v>12.661106899166</v>
      </c>
      <c r="K14" t="s">
        <v>68</v>
      </c>
    </row>
    <row r="15" spans="1:11">
      <c r="A15" t="s">
        <v>27</v>
      </c>
      <c r="B15" t="s">
        <v>2</v>
      </c>
      <c r="C15" t="s">
        <v>10</v>
      </c>
      <c r="D15" t="s">
        <v>20</v>
      </c>
      <c r="E15">
        <v>1319</v>
      </c>
      <c r="F15">
        <v>5.76194086429113</v>
      </c>
      <c r="G15">
        <v>2.0470053070508</v>
      </c>
      <c r="H15">
        <v>-3.71493555724033</v>
      </c>
      <c r="I15">
        <v>-5.07960576194086</v>
      </c>
      <c r="J15">
        <v>-2.42608036391205</v>
      </c>
      <c r="K15" t="s">
        <v>69</v>
      </c>
    </row>
    <row r="16" spans="1:11">
      <c r="A16" t="s">
        <v>27</v>
      </c>
      <c r="B16" t="s">
        <v>2</v>
      </c>
      <c r="C16" t="s">
        <v>10</v>
      </c>
      <c r="D16" t="s">
        <v>21</v>
      </c>
      <c r="E16">
        <v>1319</v>
      </c>
      <c r="F16">
        <v>23.2752084912813</v>
      </c>
      <c r="G16">
        <v>17.2858225928734</v>
      </c>
      <c r="H16">
        <v>-5.98938589840788</v>
      </c>
      <c r="I16">
        <v>-8.11220621683093</v>
      </c>
      <c r="J16">
        <v>-4.01819560272934</v>
      </c>
      <c r="K16" t="s">
        <v>70</v>
      </c>
    </row>
    <row r="17" spans="1:11">
      <c r="A17" t="s">
        <v>27</v>
      </c>
      <c r="B17" t="s">
        <v>2</v>
      </c>
      <c r="C17" t="s">
        <v>10</v>
      </c>
      <c r="D17" t="s">
        <v>22</v>
      </c>
      <c r="E17">
        <v>1319</v>
      </c>
      <c r="F17">
        <v>6.89916603487491</v>
      </c>
      <c r="G17">
        <v>6.29264594389689</v>
      </c>
      <c r="H17">
        <v>-0.606520090978013</v>
      </c>
      <c r="I17">
        <v>-2.0470053070508</v>
      </c>
      <c r="J17">
        <v>0.90978013646702</v>
      </c>
      <c r="K17" t="s">
        <v>71</v>
      </c>
    </row>
    <row r="18" spans="1:11">
      <c r="A18" t="s">
        <v>27</v>
      </c>
      <c r="B18" t="s">
        <v>2</v>
      </c>
      <c r="C18" t="s">
        <v>10</v>
      </c>
      <c r="D18" t="s">
        <v>23</v>
      </c>
      <c r="E18">
        <v>1319</v>
      </c>
      <c r="F18">
        <v>3.94238059135709</v>
      </c>
      <c r="G18">
        <v>3.71493555724033</v>
      </c>
      <c r="H18">
        <v>-0.227445034116755</v>
      </c>
      <c r="I18">
        <v>-1.44048521607278</v>
      </c>
      <c r="J18">
        <v>0.909780136467021</v>
      </c>
      <c r="K18" t="s">
        <v>72</v>
      </c>
    </row>
    <row r="19" spans="1:11">
      <c r="A19" t="s">
        <v>27</v>
      </c>
      <c r="B19" t="s">
        <v>2</v>
      </c>
      <c r="C19" t="s">
        <v>10</v>
      </c>
      <c r="D19" t="s">
        <v>24</v>
      </c>
      <c r="E19">
        <v>1319</v>
      </c>
      <c r="F19">
        <v>0.45489006823351</v>
      </c>
      <c r="G19">
        <v>0.303260045489007</v>
      </c>
      <c r="H19">
        <v>-0.151630022744503</v>
      </c>
      <c r="I19">
        <v>-0.530705079605762</v>
      </c>
      <c r="J19">
        <v>0.227445034116755</v>
      </c>
      <c r="K19" t="s">
        <v>73</v>
      </c>
    </row>
    <row r="20" spans="1:11">
      <c r="A20" t="s">
        <v>27</v>
      </c>
      <c r="B20" t="s">
        <v>3</v>
      </c>
      <c r="C20" t="s">
        <v>8</v>
      </c>
      <c r="D20" t="s">
        <v>19</v>
      </c>
      <c r="E20">
        <v>654</v>
      </c>
      <c r="F20">
        <v>92.2018348623853</v>
      </c>
      <c r="G20">
        <v>93.5779816513761</v>
      </c>
      <c r="H20">
        <v>1.37614678899083</v>
      </c>
      <c r="I20">
        <v>-0.305810397553519</v>
      </c>
      <c r="J20">
        <v>3.06192660550457</v>
      </c>
      <c r="K20" t="s">
        <v>74</v>
      </c>
    </row>
    <row r="21" spans="1:11">
      <c r="A21" t="s">
        <v>27</v>
      </c>
      <c r="B21" t="s">
        <v>3</v>
      </c>
      <c r="C21" t="s">
        <v>8</v>
      </c>
      <c r="D21" t="s">
        <v>20</v>
      </c>
      <c r="E21">
        <v>654</v>
      </c>
      <c r="F21">
        <v>2.75229357798165</v>
      </c>
      <c r="G21">
        <v>1.68195718654434</v>
      </c>
      <c r="H21">
        <v>-1.07033639143731</v>
      </c>
      <c r="I21">
        <v>-2.44648318042813</v>
      </c>
      <c r="J21">
        <v>0.152905198776758</v>
      </c>
      <c r="K21" t="s">
        <v>75</v>
      </c>
    </row>
    <row r="22" spans="1:11">
      <c r="A22" t="s">
        <v>27</v>
      </c>
      <c r="B22" t="s">
        <v>3</v>
      </c>
      <c r="C22" t="s">
        <v>8</v>
      </c>
      <c r="D22" t="s">
        <v>21</v>
      </c>
      <c r="E22">
        <v>654</v>
      </c>
      <c r="F22">
        <v>4.74006116207951</v>
      </c>
      <c r="G22">
        <v>4.74006116207951</v>
      </c>
      <c r="H22">
        <v>0</v>
      </c>
      <c r="I22">
        <v>-1.07033639143731</v>
      </c>
      <c r="J22">
        <v>1.07033639143731</v>
      </c>
      <c r="K22" t="s">
        <v>76</v>
      </c>
    </row>
    <row r="23" spans="1:11">
      <c r="A23" t="s">
        <v>27</v>
      </c>
      <c r="B23" t="s">
        <v>3</v>
      </c>
      <c r="C23" t="s">
        <v>8</v>
      </c>
      <c r="D23" t="s">
        <v>22</v>
      </c>
      <c r="E23">
        <v>654</v>
      </c>
      <c r="F23">
        <v>0.305810397553517</v>
      </c>
      <c r="G23">
        <v>0</v>
      </c>
      <c r="H23">
        <v>-0.305810397553517</v>
      </c>
      <c r="I23">
        <v>-0.764525993883792</v>
      </c>
      <c r="J23">
        <v>0</v>
      </c>
      <c r="K23" t="s">
        <v>77</v>
      </c>
    </row>
    <row r="24" spans="1:11">
      <c r="A24" t="s">
        <v>27</v>
      </c>
      <c r="B24" t="s">
        <v>3</v>
      </c>
      <c r="C24" t="s">
        <v>8</v>
      </c>
      <c r="D24" t="s">
        <v>23</v>
      </c>
      <c r="E24">
        <v>654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48</v>
      </c>
    </row>
    <row r="25" spans="1:11">
      <c r="A25" t="s">
        <v>27</v>
      </c>
      <c r="B25" t="s">
        <v>3</v>
      </c>
      <c r="C25" t="s">
        <v>8</v>
      </c>
      <c r="D25" t="s">
        <v>24</v>
      </c>
      <c r="E25">
        <v>654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48</v>
      </c>
    </row>
    <row r="26" spans="1:11">
      <c r="A26" t="s">
        <v>27</v>
      </c>
      <c r="B26" t="s">
        <v>3</v>
      </c>
      <c r="C26" t="s">
        <v>9</v>
      </c>
      <c r="D26" t="s">
        <v>19</v>
      </c>
      <c r="E26">
        <v>640</v>
      </c>
      <c r="F26">
        <v>48.4375</v>
      </c>
      <c r="G26">
        <v>55</v>
      </c>
      <c r="H26">
        <v>6.5625</v>
      </c>
      <c r="I26">
        <v>4.0625</v>
      </c>
      <c r="J26">
        <v>9.0625</v>
      </c>
      <c r="K26" t="s">
        <v>78</v>
      </c>
    </row>
    <row r="27" spans="1:11">
      <c r="A27" t="s">
        <v>27</v>
      </c>
      <c r="B27" t="s">
        <v>3</v>
      </c>
      <c r="C27" t="s">
        <v>9</v>
      </c>
      <c r="D27" t="s">
        <v>20</v>
      </c>
      <c r="E27">
        <v>640</v>
      </c>
      <c r="F27">
        <v>9.6875</v>
      </c>
      <c r="G27">
        <v>7.5</v>
      </c>
      <c r="H27">
        <v>-2.1875</v>
      </c>
      <c r="I27">
        <v>-4.53125</v>
      </c>
      <c r="J27">
        <v>0.156249999999999</v>
      </c>
      <c r="K27" t="s">
        <v>79</v>
      </c>
    </row>
    <row r="28" spans="1:11">
      <c r="A28" t="s">
        <v>27</v>
      </c>
      <c r="B28" t="s">
        <v>3</v>
      </c>
      <c r="C28" t="s">
        <v>9</v>
      </c>
      <c r="D28" t="s">
        <v>21</v>
      </c>
      <c r="E28">
        <v>640</v>
      </c>
      <c r="F28">
        <v>31.875</v>
      </c>
      <c r="G28">
        <v>29.6875</v>
      </c>
      <c r="H28">
        <v>-2.1875</v>
      </c>
      <c r="I28">
        <v>-5</v>
      </c>
      <c r="J28">
        <v>0.78125</v>
      </c>
      <c r="K28" t="s">
        <v>80</v>
      </c>
    </row>
    <row r="29" spans="1:11">
      <c r="A29" t="s">
        <v>27</v>
      </c>
      <c r="B29" t="s">
        <v>3</v>
      </c>
      <c r="C29" t="s">
        <v>9</v>
      </c>
      <c r="D29" t="s">
        <v>22</v>
      </c>
      <c r="E29">
        <v>640</v>
      </c>
      <c r="F29">
        <v>3.75</v>
      </c>
      <c r="G29">
        <v>3.125</v>
      </c>
      <c r="H29">
        <v>-0.625</v>
      </c>
      <c r="I29">
        <v>-2.34375</v>
      </c>
      <c r="J29">
        <v>1.09375</v>
      </c>
      <c r="K29" t="s">
        <v>81</v>
      </c>
    </row>
    <row r="30" spans="1:11">
      <c r="A30" t="s">
        <v>27</v>
      </c>
      <c r="B30" t="s">
        <v>3</v>
      </c>
      <c r="C30" t="s">
        <v>9</v>
      </c>
      <c r="D30" t="s">
        <v>23</v>
      </c>
      <c r="E30">
        <v>640</v>
      </c>
      <c r="F30">
        <v>5.625</v>
      </c>
      <c r="G30">
        <v>4.21875</v>
      </c>
      <c r="H30">
        <v>-1.40625</v>
      </c>
      <c r="I30">
        <v>-3.4375</v>
      </c>
      <c r="J30">
        <v>0.46875</v>
      </c>
      <c r="K30" t="s">
        <v>82</v>
      </c>
    </row>
    <row r="31" spans="1:11">
      <c r="A31" t="s">
        <v>27</v>
      </c>
      <c r="B31" t="s">
        <v>3</v>
      </c>
      <c r="C31" t="s">
        <v>9</v>
      </c>
      <c r="D31" t="s">
        <v>24</v>
      </c>
      <c r="E31">
        <v>640</v>
      </c>
      <c r="F31">
        <v>0.625</v>
      </c>
      <c r="G31">
        <v>0.46875</v>
      </c>
      <c r="H31">
        <v>-0.15625</v>
      </c>
      <c r="I31">
        <v>-0.78515625</v>
      </c>
      <c r="J31">
        <v>0.46875</v>
      </c>
      <c r="K31" t="s">
        <v>83</v>
      </c>
    </row>
    <row r="32" spans="1:11">
      <c r="A32" t="s">
        <v>27</v>
      </c>
      <c r="B32" t="s">
        <v>3</v>
      </c>
      <c r="C32" t="s">
        <v>10</v>
      </c>
      <c r="D32" t="s">
        <v>19</v>
      </c>
      <c r="E32">
        <v>1319</v>
      </c>
      <c r="F32">
        <v>71.6451857467779</v>
      </c>
      <c r="G32">
        <v>79.833206974981</v>
      </c>
      <c r="H32">
        <v>8.18802122820318</v>
      </c>
      <c r="I32">
        <v>6.36846095526915</v>
      </c>
      <c r="J32">
        <v>10.0833965125095</v>
      </c>
      <c r="K32" t="s">
        <v>84</v>
      </c>
    </row>
    <row r="33" spans="1:11">
      <c r="A33" t="s">
        <v>27</v>
      </c>
      <c r="B33" t="s">
        <v>3</v>
      </c>
      <c r="C33" t="s">
        <v>10</v>
      </c>
      <c r="D33" t="s">
        <v>20</v>
      </c>
      <c r="E33">
        <v>1319</v>
      </c>
      <c r="F33">
        <v>10.0075815011372</v>
      </c>
      <c r="G33">
        <v>2.88097043214556</v>
      </c>
      <c r="H33">
        <v>-7.12661106899166</v>
      </c>
      <c r="I33">
        <v>-8.71872630780895</v>
      </c>
      <c r="J33">
        <v>-5.53449583017438</v>
      </c>
      <c r="K33" t="s">
        <v>85</v>
      </c>
    </row>
    <row r="34" spans="1:11">
      <c r="A34" t="s">
        <v>27</v>
      </c>
      <c r="B34" t="s">
        <v>3</v>
      </c>
      <c r="C34" t="s">
        <v>10</v>
      </c>
      <c r="D34" t="s">
        <v>21</v>
      </c>
      <c r="E34">
        <v>1319</v>
      </c>
      <c r="F34">
        <v>15.6937073540561</v>
      </c>
      <c r="G34">
        <v>13.7225170583776</v>
      </c>
      <c r="H34">
        <v>-1.97119029567854</v>
      </c>
      <c r="I34">
        <v>-3.41167551175132</v>
      </c>
      <c r="J34">
        <v>-0.604624715693717</v>
      </c>
      <c r="K34" t="s">
        <v>86</v>
      </c>
    </row>
    <row r="35" spans="1:11">
      <c r="A35" t="s">
        <v>27</v>
      </c>
      <c r="B35" t="s">
        <v>3</v>
      </c>
      <c r="C35" t="s">
        <v>10</v>
      </c>
      <c r="D35" t="s">
        <v>22</v>
      </c>
      <c r="E35">
        <v>1319</v>
      </c>
      <c r="F35">
        <v>1.28885519332828</v>
      </c>
      <c r="G35">
        <v>1.81956027293404</v>
      </c>
      <c r="H35">
        <v>0.530705079605762</v>
      </c>
      <c r="I35">
        <v>-0.227445034116755</v>
      </c>
      <c r="J35">
        <v>1.21304018195603</v>
      </c>
      <c r="K35" t="s">
        <v>87</v>
      </c>
    </row>
    <row r="36" spans="1:11">
      <c r="A36" t="s">
        <v>27</v>
      </c>
      <c r="B36" t="s">
        <v>3</v>
      </c>
      <c r="C36" t="s">
        <v>10</v>
      </c>
      <c r="D36" t="s">
        <v>23</v>
      </c>
      <c r="E36">
        <v>1319</v>
      </c>
      <c r="F36">
        <v>1.28885519332828</v>
      </c>
      <c r="G36">
        <v>1.51630022744503</v>
      </c>
      <c r="H36">
        <v>0.227445034116755</v>
      </c>
      <c r="I36">
        <v>-0.45489006823351</v>
      </c>
      <c r="J36">
        <v>0.90978013646702</v>
      </c>
      <c r="K36" t="s">
        <v>88</v>
      </c>
    </row>
    <row r="37" spans="1:11">
      <c r="A37" t="s">
        <v>27</v>
      </c>
      <c r="B37" t="s">
        <v>3</v>
      </c>
      <c r="C37" t="s">
        <v>10</v>
      </c>
      <c r="D37" t="s">
        <v>24</v>
      </c>
      <c r="E37">
        <v>1319</v>
      </c>
      <c r="F37">
        <v>0.0758150113722517</v>
      </c>
      <c r="G37">
        <v>0.227445034116755</v>
      </c>
      <c r="H37">
        <v>0.151630022744503</v>
      </c>
      <c r="I37">
        <v>0</v>
      </c>
      <c r="J37">
        <v>0.379075056861259</v>
      </c>
      <c r="K37" t="s">
        <v>89</v>
      </c>
    </row>
    <row r="38" spans="1:11">
      <c r="A38" t="s">
        <v>27</v>
      </c>
      <c r="B38" t="s">
        <v>4</v>
      </c>
      <c r="C38" t="s">
        <v>8</v>
      </c>
      <c r="D38" t="s">
        <v>19</v>
      </c>
      <c r="E38">
        <v>654</v>
      </c>
      <c r="F38">
        <v>85.3211009174312</v>
      </c>
      <c r="G38">
        <v>92.2018348623853</v>
      </c>
      <c r="H38">
        <v>6.88073394495413</v>
      </c>
      <c r="I38">
        <v>4.74006116207951</v>
      </c>
      <c r="J38">
        <v>9.02140672782875</v>
      </c>
      <c r="K38" t="s">
        <v>90</v>
      </c>
    </row>
    <row r="39" spans="1:11">
      <c r="A39" t="s">
        <v>27</v>
      </c>
      <c r="B39" t="s">
        <v>4</v>
      </c>
      <c r="C39" t="s">
        <v>8</v>
      </c>
      <c r="D39" t="s">
        <v>20</v>
      </c>
      <c r="E39">
        <v>654</v>
      </c>
      <c r="F39">
        <v>9.9388379204893</v>
      </c>
      <c r="G39">
        <v>2.44648318042813</v>
      </c>
      <c r="H39">
        <v>-7.49235474006116</v>
      </c>
      <c r="I39">
        <v>-9.48012232415902</v>
      </c>
      <c r="J39">
        <v>-5.5045871559633</v>
      </c>
      <c r="K39" t="s">
        <v>91</v>
      </c>
    </row>
    <row r="40" spans="1:11">
      <c r="A40" t="s">
        <v>27</v>
      </c>
      <c r="B40" t="s">
        <v>4</v>
      </c>
      <c r="C40" t="s">
        <v>8</v>
      </c>
      <c r="D40" t="s">
        <v>21</v>
      </c>
      <c r="E40">
        <v>654</v>
      </c>
      <c r="F40">
        <v>4.58715596330275</v>
      </c>
      <c r="G40">
        <v>5.04587155963303</v>
      </c>
      <c r="H40">
        <v>0.458715596330275</v>
      </c>
      <c r="I40">
        <v>-0.611620795107034</v>
      </c>
      <c r="J40">
        <v>1.68195718654434</v>
      </c>
      <c r="K40" t="s">
        <v>92</v>
      </c>
    </row>
    <row r="41" spans="1:11">
      <c r="A41" t="s">
        <v>27</v>
      </c>
      <c r="B41" t="s">
        <v>4</v>
      </c>
      <c r="C41" t="s">
        <v>8</v>
      </c>
      <c r="D41" t="s">
        <v>22</v>
      </c>
      <c r="E41">
        <v>654</v>
      </c>
      <c r="F41">
        <v>0.152905198776758</v>
      </c>
      <c r="G41">
        <v>0.305810397553517</v>
      </c>
      <c r="H41">
        <v>0.152905198776758</v>
      </c>
      <c r="I41">
        <v>-0.305810397553517</v>
      </c>
      <c r="J41">
        <v>0.611620795107034</v>
      </c>
      <c r="K41" t="s">
        <v>93</v>
      </c>
    </row>
    <row r="42" spans="1:11">
      <c r="A42" t="s">
        <v>27</v>
      </c>
      <c r="B42" t="s">
        <v>4</v>
      </c>
      <c r="C42" t="s">
        <v>8</v>
      </c>
      <c r="D42" t="s">
        <v>23</v>
      </c>
      <c r="E42">
        <v>654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48</v>
      </c>
    </row>
    <row r="43" spans="1:11">
      <c r="A43" t="s">
        <v>27</v>
      </c>
      <c r="B43" t="s">
        <v>4</v>
      </c>
      <c r="C43" t="s">
        <v>8</v>
      </c>
      <c r="D43" t="s">
        <v>24</v>
      </c>
      <c r="E43">
        <v>654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48</v>
      </c>
    </row>
    <row r="44" spans="1:11">
      <c r="A44" t="s">
        <v>27</v>
      </c>
      <c r="B44" t="s">
        <v>4</v>
      </c>
      <c r="C44" t="s">
        <v>9</v>
      </c>
      <c r="D44" t="s">
        <v>19</v>
      </c>
      <c r="E44">
        <v>640</v>
      </c>
      <c r="F44">
        <v>33.28125</v>
      </c>
      <c r="G44">
        <v>46.25</v>
      </c>
      <c r="H44">
        <v>12.96875</v>
      </c>
      <c r="I44">
        <v>10</v>
      </c>
      <c r="J44">
        <v>15.94140625</v>
      </c>
      <c r="K44" t="s">
        <v>94</v>
      </c>
    </row>
    <row r="45" spans="1:11">
      <c r="A45" t="s">
        <v>27</v>
      </c>
      <c r="B45" t="s">
        <v>4</v>
      </c>
      <c r="C45" t="s">
        <v>9</v>
      </c>
      <c r="D45" t="s">
        <v>20</v>
      </c>
      <c r="E45">
        <v>640</v>
      </c>
      <c r="F45">
        <v>42.65625</v>
      </c>
      <c r="G45">
        <v>19.375</v>
      </c>
      <c r="H45">
        <v>-23.28125</v>
      </c>
      <c r="I45">
        <v>-27.1875</v>
      </c>
      <c r="J45">
        <v>-19.375</v>
      </c>
      <c r="K45" t="s">
        <v>95</v>
      </c>
    </row>
    <row r="46" spans="1:11">
      <c r="A46" t="s">
        <v>27</v>
      </c>
      <c r="B46" t="s">
        <v>4</v>
      </c>
      <c r="C46" t="s">
        <v>9</v>
      </c>
      <c r="D46" t="s">
        <v>21</v>
      </c>
      <c r="E46">
        <v>640</v>
      </c>
      <c r="F46">
        <v>19.84375</v>
      </c>
      <c r="G46">
        <v>28.59375</v>
      </c>
      <c r="H46">
        <v>8.75</v>
      </c>
      <c r="I46">
        <v>5.46875</v>
      </c>
      <c r="J46">
        <v>11.875</v>
      </c>
      <c r="K46" t="s">
        <v>96</v>
      </c>
    </row>
    <row r="47" spans="1:11">
      <c r="A47" t="s">
        <v>27</v>
      </c>
      <c r="B47" t="s">
        <v>4</v>
      </c>
      <c r="C47" t="s">
        <v>9</v>
      </c>
      <c r="D47" t="s">
        <v>22</v>
      </c>
      <c r="E47">
        <v>640</v>
      </c>
      <c r="F47">
        <v>1.875</v>
      </c>
      <c r="G47">
        <v>2.5</v>
      </c>
      <c r="H47">
        <v>0.625</v>
      </c>
      <c r="I47">
        <v>-0.78125</v>
      </c>
      <c r="J47">
        <v>2.1875</v>
      </c>
      <c r="K47" t="s">
        <v>97</v>
      </c>
    </row>
    <row r="48" spans="1:11">
      <c r="A48" t="s">
        <v>27</v>
      </c>
      <c r="B48" t="s">
        <v>4</v>
      </c>
      <c r="C48" t="s">
        <v>9</v>
      </c>
      <c r="D48" t="s">
        <v>23</v>
      </c>
      <c r="E48">
        <v>640</v>
      </c>
      <c r="F48">
        <v>2.34375</v>
      </c>
      <c r="G48">
        <v>2.96875</v>
      </c>
      <c r="H48">
        <v>0.625</v>
      </c>
      <c r="I48">
        <v>-0.78125</v>
      </c>
      <c r="J48">
        <v>2.03125</v>
      </c>
      <c r="K48" t="s">
        <v>98</v>
      </c>
    </row>
    <row r="49" spans="1:11">
      <c r="A49" t="s">
        <v>27</v>
      </c>
      <c r="B49" t="s">
        <v>4</v>
      </c>
      <c r="C49" t="s">
        <v>9</v>
      </c>
      <c r="D49" t="s">
        <v>24</v>
      </c>
      <c r="E49">
        <v>640</v>
      </c>
      <c r="F49">
        <v>0</v>
      </c>
      <c r="G49">
        <v>0.3125</v>
      </c>
      <c r="H49">
        <v>0.3125</v>
      </c>
      <c r="I49">
        <v>0</v>
      </c>
      <c r="J49">
        <v>0.78125</v>
      </c>
      <c r="K49" t="s">
        <v>99</v>
      </c>
    </row>
    <row r="50" spans="1:11">
      <c r="A50" t="s">
        <v>27</v>
      </c>
      <c r="B50" t="s">
        <v>4</v>
      </c>
      <c r="C50" t="s">
        <v>10</v>
      </c>
      <c r="D50" t="s">
        <v>19</v>
      </c>
      <c r="E50">
        <v>1319</v>
      </c>
      <c r="F50">
        <v>61.0310841546626</v>
      </c>
      <c r="G50">
        <v>77.3313115996967</v>
      </c>
      <c r="H50">
        <v>16.3002274450341</v>
      </c>
      <c r="I50">
        <v>14.1774071266111</v>
      </c>
      <c r="J50">
        <v>18.4230477634572</v>
      </c>
      <c r="K50" t="s">
        <v>100</v>
      </c>
    </row>
    <row r="51" spans="1:11">
      <c r="A51" t="s">
        <v>27</v>
      </c>
      <c r="B51" t="s">
        <v>4</v>
      </c>
      <c r="C51" t="s">
        <v>10</v>
      </c>
      <c r="D51" t="s">
        <v>20</v>
      </c>
      <c r="E51">
        <v>1319</v>
      </c>
      <c r="F51">
        <v>23.502653525398</v>
      </c>
      <c r="G51">
        <v>6.82335102350265</v>
      </c>
      <c r="H51">
        <v>-16.6793025018954</v>
      </c>
      <c r="I51">
        <v>-18.8040181956027</v>
      </c>
      <c r="J51">
        <v>-14.4048521607278</v>
      </c>
      <c r="K51" t="s">
        <v>101</v>
      </c>
    </row>
    <row r="52" spans="1:11">
      <c r="A52" t="s">
        <v>27</v>
      </c>
      <c r="B52" t="s">
        <v>4</v>
      </c>
      <c r="C52" t="s">
        <v>10</v>
      </c>
      <c r="D52" t="s">
        <v>21</v>
      </c>
      <c r="E52">
        <v>1319</v>
      </c>
      <c r="F52">
        <v>13.7983320697498</v>
      </c>
      <c r="G52">
        <v>13.5708870356331</v>
      </c>
      <c r="H52">
        <v>-0.227445034116755</v>
      </c>
      <c r="I52">
        <v>-1.74374526156179</v>
      </c>
      <c r="J52">
        <v>1.36467020470053</v>
      </c>
      <c r="K52" t="s">
        <v>102</v>
      </c>
    </row>
    <row r="53" spans="1:11">
      <c r="A53" t="s">
        <v>27</v>
      </c>
      <c r="B53" t="s">
        <v>4</v>
      </c>
      <c r="C53" t="s">
        <v>10</v>
      </c>
      <c r="D53" t="s">
        <v>22</v>
      </c>
      <c r="E53">
        <v>1319</v>
      </c>
      <c r="F53">
        <v>0.682335102350265</v>
      </c>
      <c r="G53">
        <v>1.06141015921152</v>
      </c>
      <c r="H53">
        <v>0.379075056861259</v>
      </c>
      <c r="I53">
        <v>-0.15352539802881</v>
      </c>
      <c r="J53">
        <v>0.985595147839272</v>
      </c>
      <c r="K53" t="s">
        <v>103</v>
      </c>
    </row>
    <row r="54" spans="1:11">
      <c r="A54" t="s">
        <v>27</v>
      </c>
      <c r="B54" t="s">
        <v>4</v>
      </c>
      <c r="C54" t="s">
        <v>10</v>
      </c>
      <c r="D54" t="s">
        <v>23</v>
      </c>
      <c r="E54">
        <v>1319</v>
      </c>
      <c r="F54">
        <v>0.985595147839272</v>
      </c>
      <c r="G54">
        <v>1.13722517058378</v>
      </c>
      <c r="H54">
        <v>0.151630022744503</v>
      </c>
      <c r="I54">
        <v>-0.45489006823351</v>
      </c>
      <c r="J54">
        <v>0.758150113722517</v>
      </c>
      <c r="K54" t="s">
        <v>104</v>
      </c>
    </row>
    <row r="55" spans="1:11">
      <c r="A55" t="s">
        <v>27</v>
      </c>
      <c r="B55" t="s">
        <v>4</v>
      </c>
      <c r="C55" t="s">
        <v>10</v>
      </c>
      <c r="D55" t="s">
        <v>24</v>
      </c>
      <c r="E55">
        <v>1319</v>
      </c>
      <c r="F55">
        <v>0</v>
      </c>
      <c r="G55">
        <v>0.0758150113722517</v>
      </c>
      <c r="H55">
        <v>0.0758150113722517</v>
      </c>
      <c r="I55">
        <v>0</v>
      </c>
      <c r="J55">
        <v>0.227445034116755</v>
      </c>
      <c r="K55" t="s">
        <v>105</v>
      </c>
    </row>
    <row r="56" spans="1:11">
      <c r="A56" t="s">
        <v>27</v>
      </c>
      <c r="B56" t="s">
        <v>5</v>
      </c>
      <c r="C56" t="s">
        <v>8</v>
      </c>
      <c r="D56" t="s">
        <v>19</v>
      </c>
      <c r="E56">
        <v>654</v>
      </c>
      <c r="F56">
        <v>93.4250764525994</v>
      </c>
      <c r="G56">
        <v>94.6483180428135</v>
      </c>
      <c r="H56">
        <v>1.22324159021406</v>
      </c>
      <c r="I56">
        <v>-0.152905198776765</v>
      </c>
      <c r="J56">
        <v>2.59938837920489</v>
      </c>
      <c r="K56" t="s">
        <v>106</v>
      </c>
    </row>
    <row r="57" spans="1:11">
      <c r="A57" t="s">
        <v>27</v>
      </c>
      <c r="B57" t="s">
        <v>5</v>
      </c>
      <c r="C57" t="s">
        <v>8</v>
      </c>
      <c r="D57" t="s">
        <v>20</v>
      </c>
      <c r="E57">
        <v>654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48</v>
      </c>
    </row>
    <row r="58" spans="1:11">
      <c r="A58" t="s">
        <v>27</v>
      </c>
      <c r="B58" t="s">
        <v>5</v>
      </c>
      <c r="C58" t="s">
        <v>8</v>
      </c>
      <c r="D58" t="s">
        <v>21</v>
      </c>
      <c r="E58">
        <v>654</v>
      </c>
      <c r="F58">
        <v>5.81039755351682</v>
      </c>
      <c r="G58">
        <v>5.04587155963303</v>
      </c>
      <c r="H58">
        <v>-0.764525993883792</v>
      </c>
      <c r="I58">
        <v>-1.98776758409786</v>
      </c>
      <c r="J58">
        <v>0.458715596330275</v>
      </c>
      <c r="K58" t="s">
        <v>107</v>
      </c>
    </row>
    <row r="59" spans="1:11">
      <c r="A59" t="s">
        <v>27</v>
      </c>
      <c r="B59" t="s">
        <v>5</v>
      </c>
      <c r="C59" t="s">
        <v>8</v>
      </c>
      <c r="D59" t="s">
        <v>22</v>
      </c>
      <c r="E59">
        <v>654</v>
      </c>
      <c r="F59">
        <v>0.764525993883792</v>
      </c>
      <c r="G59">
        <v>0.152905198776758</v>
      </c>
      <c r="H59">
        <v>-0.611620795107034</v>
      </c>
      <c r="I59">
        <v>-1.22324159021407</v>
      </c>
      <c r="J59">
        <v>-0.152905198776758</v>
      </c>
      <c r="K59" t="s">
        <v>58</v>
      </c>
    </row>
    <row r="60" spans="1:11">
      <c r="A60" t="s">
        <v>27</v>
      </c>
      <c r="B60" t="s">
        <v>5</v>
      </c>
      <c r="C60" t="s">
        <v>8</v>
      </c>
      <c r="D60" t="s">
        <v>23</v>
      </c>
      <c r="E60">
        <v>654</v>
      </c>
      <c r="F60">
        <v>0</v>
      </c>
      <c r="G60">
        <v>0.152905198776758</v>
      </c>
      <c r="H60">
        <v>0.152905198776758</v>
      </c>
      <c r="I60">
        <v>0</v>
      </c>
      <c r="J60">
        <v>0.458715596330275</v>
      </c>
      <c r="K60" t="s">
        <v>61</v>
      </c>
    </row>
    <row r="61" spans="1:11">
      <c r="A61" t="s">
        <v>27</v>
      </c>
      <c r="B61" t="s">
        <v>5</v>
      </c>
      <c r="C61" t="s">
        <v>8</v>
      </c>
      <c r="D61" t="s">
        <v>24</v>
      </c>
      <c r="E61">
        <v>654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48</v>
      </c>
    </row>
    <row r="62" spans="1:11">
      <c r="A62" t="s">
        <v>27</v>
      </c>
      <c r="B62" t="s">
        <v>5</v>
      </c>
      <c r="C62" t="s">
        <v>9</v>
      </c>
      <c r="D62" t="s">
        <v>19</v>
      </c>
      <c r="E62">
        <v>640</v>
      </c>
      <c r="F62">
        <v>35.15625</v>
      </c>
      <c r="G62">
        <v>42.65625</v>
      </c>
      <c r="H62">
        <v>7.5</v>
      </c>
      <c r="I62">
        <v>4.21875</v>
      </c>
      <c r="J62">
        <v>10.78125</v>
      </c>
      <c r="K62" t="s">
        <v>108</v>
      </c>
    </row>
    <row r="63" spans="1:11">
      <c r="A63" t="s">
        <v>27</v>
      </c>
      <c r="B63" t="s">
        <v>5</v>
      </c>
      <c r="C63" t="s">
        <v>9</v>
      </c>
      <c r="D63" t="s">
        <v>20</v>
      </c>
      <c r="E63">
        <v>640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48</v>
      </c>
    </row>
    <row r="64" spans="1:11">
      <c r="A64" t="s">
        <v>27</v>
      </c>
      <c r="B64" t="s">
        <v>5</v>
      </c>
      <c r="C64" t="s">
        <v>9</v>
      </c>
      <c r="D64" t="s">
        <v>21</v>
      </c>
      <c r="E64">
        <v>640</v>
      </c>
      <c r="F64">
        <v>44.6875</v>
      </c>
      <c r="G64">
        <v>35.46875</v>
      </c>
      <c r="H64">
        <v>-9.21875</v>
      </c>
      <c r="I64">
        <v>-13.28125</v>
      </c>
      <c r="J64">
        <v>-5.3125</v>
      </c>
      <c r="K64" t="s">
        <v>109</v>
      </c>
    </row>
    <row r="65" spans="1:11">
      <c r="A65" t="s">
        <v>27</v>
      </c>
      <c r="B65" t="s">
        <v>5</v>
      </c>
      <c r="C65" t="s">
        <v>9</v>
      </c>
      <c r="D65" t="s">
        <v>22</v>
      </c>
      <c r="E65">
        <v>640</v>
      </c>
      <c r="F65">
        <v>11.5625</v>
      </c>
      <c r="G65">
        <v>15.46875</v>
      </c>
      <c r="H65">
        <v>3.90625</v>
      </c>
      <c r="I65">
        <v>0.937499999999999</v>
      </c>
      <c r="J65">
        <v>7.1875</v>
      </c>
      <c r="K65" t="s">
        <v>110</v>
      </c>
    </row>
    <row r="66" spans="1:11">
      <c r="A66" t="s">
        <v>27</v>
      </c>
      <c r="B66" t="s">
        <v>5</v>
      </c>
      <c r="C66" t="s">
        <v>9</v>
      </c>
      <c r="D66" t="s">
        <v>23</v>
      </c>
      <c r="E66">
        <v>640</v>
      </c>
      <c r="F66">
        <v>8.59375</v>
      </c>
      <c r="G66">
        <v>6.40625</v>
      </c>
      <c r="H66">
        <v>-2.1875</v>
      </c>
      <c r="I66">
        <v>-4.53125</v>
      </c>
      <c r="J66">
        <v>0.156250000000001</v>
      </c>
      <c r="K66" t="s">
        <v>79</v>
      </c>
    </row>
    <row r="67" spans="1:11">
      <c r="A67" t="s">
        <v>27</v>
      </c>
      <c r="B67" t="s">
        <v>5</v>
      </c>
      <c r="C67" t="s">
        <v>9</v>
      </c>
      <c r="D67" t="s">
        <v>24</v>
      </c>
      <c r="E67">
        <v>640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48</v>
      </c>
    </row>
    <row r="68" spans="1:11">
      <c r="A68" t="s">
        <v>27</v>
      </c>
      <c r="B68" t="s">
        <v>5</v>
      </c>
      <c r="C68" t="s">
        <v>10</v>
      </c>
      <c r="D68" t="s">
        <v>19</v>
      </c>
      <c r="E68">
        <v>1319</v>
      </c>
      <c r="F68">
        <v>73.8438210765732</v>
      </c>
      <c r="G68">
        <v>73.8438210765732</v>
      </c>
      <c r="H68">
        <v>0</v>
      </c>
      <c r="I68">
        <v>-1.74374526156179</v>
      </c>
      <c r="J68">
        <v>1.89537528430629</v>
      </c>
      <c r="K68" t="s">
        <v>111</v>
      </c>
    </row>
    <row r="69" spans="1:11">
      <c r="A69" t="s">
        <v>27</v>
      </c>
      <c r="B69" t="s">
        <v>5</v>
      </c>
      <c r="C69" t="s">
        <v>10</v>
      </c>
      <c r="D69" t="s">
        <v>20</v>
      </c>
      <c r="E69">
        <v>1319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48</v>
      </c>
    </row>
    <row r="70" spans="1:11">
      <c r="A70" t="s">
        <v>27</v>
      </c>
      <c r="B70" t="s">
        <v>5</v>
      </c>
      <c r="C70" t="s">
        <v>10</v>
      </c>
      <c r="D70" t="s">
        <v>21</v>
      </c>
      <c r="E70">
        <v>1319</v>
      </c>
      <c r="F70">
        <v>19.8635329795299</v>
      </c>
      <c r="G70">
        <v>18.5746777862017</v>
      </c>
      <c r="H70">
        <v>-1.28885519332828</v>
      </c>
      <c r="I70">
        <v>-3.26004548900682</v>
      </c>
      <c r="J70">
        <v>0.682335102350265</v>
      </c>
      <c r="K70" t="s">
        <v>112</v>
      </c>
    </row>
    <row r="71" spans="1:11">
      <c r="A71" t="s">
        <v>27</v>
      </c>
      <c r="B71" t="s">
        <v>5</v>
      </c>
      <c r="C71" t="s">
        <v>10</v>
      </c>
      <c r="D71" t="s">
        <v>22</v>
      </c>
      <c r="E71">
        <v>1319</v>
      </c>
      <c r="F71">
        <v>3.18423047763457</v>
      </c>
      <c r="G71">
        <v>5.00379075056861</v>
      </c>
      <c r="H71">
        <v>1.81956027293404</v>
      </c>
      <c r="I71">
        <v>0.530705079605762</v>
      </c>
      <c r="J71">
        <v>3.10841546626232</v>
      </c>
      <c r="K71" t="s">
        <v>113</v>
      </c>
    </row>
    <row r="72" spans="1:11">
      <c r="A72" t="s">
        <v>27</v>
      </c>
      <c r="B72" t="s">
        <v>5</v>
      </c>
      <c r="C72" t="s">
        <v>10</v>
      </c>
      <c r="D72" t="s">
        <v>23</v>
      </c>
      <c r="E72">
        <v>1319</v>
      </c>
      <c r="F72">
        <v>3.10841546626232</v>
      </c>
      <c r="G72">
        <v>2.57771038665656</v>
      </c>
      <c r="H72">
        <v>-0.530705079605762</v>
      </c>
      <c r="I72">
        <v>-1.51630022744503</v>
      </c>
      <c r="J72">
        <v>0.45489006823351</v>
      </c>
      <c r="K72" t="s">
        <v>114</v>
      </c>
    </row>
    <row r="73" spans="1:11">
      <c r="A73" t="s">
        <v>27</v>
      </c>
      <c r="B73" t="s">
        <v>5</v>
      </c>
      <c r="C73" t="s">
        <v>10</v>
      </c>
      <c r="D73" t="s">
        <v>24</v>
      </c>
      <c r="E73">
        <v>1319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48</v>
      </c>
    </row>
    <row r="74" spans="1:11">
      <c r="A74" t="s">
        <v>27</v>
      </c>
      <c r="B74" t="s">
        <v>6</v>
      </c>
      <c r="C74" t="s">
        <v>8</v>
      </c>
      <c r="D74" t="s">
        <v>19</v>
      </c>
      <c r="E74">
        <v>654</v>
      </c>
      <c r="F74">
        <v>92.9663608562691</v>
      </c>
      <c r="G74">
        <v>94.4954128440367</v>
      </c>
      <c r="H74">
        <v>1.52905198776758</v>
      </c>
      <c r="I74">
        <v>-0.458715596330272</v>
      </c>
      <c r="J74">
        <v>3.51681957186545</v>
      </c>
      <c r="K74" t="s">
        <v>115</v>
      </c>
    </row>
    <row r="75" spans="1:11">
      <c r="A75" t="s">
        <v>27</v>
      </c>
      <c r="B75" t="s">
        <v>6</v>
      </c>
      <c r="C75" t="s">
        <v>8</v>
      </c>
      <c r="D75" t="s">
        <v>20</v>
      </c>
      <c r="E75">
        <v>654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48</v>
      </c>
    </row>
    <row r="76" spans="1:11">
      <c r="A76" t="s">
        <v>27</v>
      </c>
      <c r="B76" t="s">
        <v>6</v>
      </c>
      <c r="C76" t="s">
        <v>8</v>
      </c>
      <c r="D76" t="s">
        <v>21</v>
      </c>
      <c r="E76">
        <v>654</v>
      </c>
      <c r="F76">
        <v>5.65749235474006</v>
      </c>
      <c r="G76">
        <v>5.04587155963303</v>
      </c>
      <c r="H76">
        <v>-0.611620795107033</v>
      </c>
      <c r="I76">
        <v>-2.59938837920489</v>
      </c>
      <c r="J76">
        <v>1.22324159021407</v>
      </c>
      <c r="K76" t="s">
        <v>116</v>
      </c>
    </row>
    <row r="77" spans="1:11">
      <c r="A77" t="s">
        <v>27</v>
      </c>
      <c r="B77" t="s">
        <v>6</v>
      </c>
      <c r="C77" t="s">
        <v>8</v>
      </c>
      <c r="D77" t="s">
        <v>22</v>
      </c>
      <c r="E77">
        <v>654</v>
      </c>
      <c r="F77">
        <v>1.37614678899083</v>
      </c>
      <c r="G77">
        <v>0.305810397553517</v>
      </c>
      <c r="H77">
        <v>-1.07033639143731</v>
      </c>
      <c r="I77">
        <v>-1.98776758409786</v>
      </c>
      <c r="J77">
        <v>-0.305810397553517</v>
      </c>
      <c r="K77" t="s">
        <v>117</v>
      </c>
    </row>
    <row r="78" spans="1:11">
      <c r="A78" t="s">
        <v>27</v>
      </c>
      <c r="B78" t="s">
        <v>6</v>
      </c>
      <c r="C78" t="s">
        <v>8</v>
      </c>
      <c r="D78" t="s">
        <v>23</v>
      </c>
      <c r="E78">
        <v>654</v>
      </c>
      <c r="F78">
        <v>0</v>
      </c>
      <c r="G78">
        <v>0.152905198776758</v>
      </c>
      <c r="H78">
        <v>0.152905198776758</v>
      </c>
      <c r="I78">
        <v>0</v>
      </c>
      <c r="J78">
        <v>0.458715596330275</v>
      </c>
      <c r="K78" t="s">
        <v>61</v>
      </c>
    </row>
    <row r="79" spans="1:11">
      <c r="A79" t="s">
        <v>27</v>
      </c>
      <c r="B79" t="s">
        <v>6</v>
      </c>
      <c r="C79" t="s">
        <v>8</v>
      </c>
      <c r="D79" t="s">
        <v>24</v>
      </c>
      <c r="E79">
        <v>654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48</v>
      </c>
    </row>
    <row r="80" spans="1:11">
      <c r="A80" t="s">
        <v>27</v>
      </c>
      <c r="B80" t="s">
        <v>6</v>
      </c>
      <c r="C80" t="s">
        <v>9</v>
      </c>
      <c r="D80" t="s">
        <v>19</v>
      </c>
      <c r="E80">
        <v>640</v>
      </c>
      <c r="F80">
        <v>50</v>
      </c>
      <c r="G80">
        <v>46.09375</v>
      </c>
      <c r="H80">
        <v>-3.90625</v>
      </c>
      <c r="I80">
        <v>-7.65625</v>
      </c>
      <c r="J80">
        <v>0.00390624999997874</v>
      </c>
      <c r="K80" t="s">
        <v>118</v>
      </c>
    </row>
    <row r="81" spans="1:11">
      <c r="A81" t="s">
        <v>27</v>
      </c>
      <c r="B81" t="s">
        <v>6</v>
      </c>
      <c r="C81" t="s">
        <v>9</v>
      </c>
      <c r="D81" t="s">
        <v>20</v>
      </c>
      <c r="E81">
        <v>640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48</v>
      </c>
    </row>
    <row r="82" spans="1:11">
      <c r="A82" t="s">
        <v>27</v>
      </c>
      <c r="B82" t="s">
        <v>6</v>
      </c>
      <c r="C82" t="s">
        <v>9</v>
      </c>
      <c r="D82" t="s">
        <v>21</v>
      </c>
      <c r="E82">
        <v>640</v>
      </c>
      <c r="F82">
        <v>36.875</v>
      </c>
      <c r="G82">
        <v>39.21875</v>
      </c>
      <c r="H82">
        <v>2.34375</v>
      </c>
      <c r="I82">
        <v>-2.03125</v>
      </c>
      <c r="J82">
        <v>6.71875</v>
      </c>
      <c r="K82" t="s">
        <v>119</v>
      </c>
    </row>
    <row r="83" spans="1:11">
      <c r="A83" t="s">
        <v>27</v>
      </c>
      <c r="B83" t="s">
        <v>6</v>
      </c>
      <c r="C83" t="s">
        <v>9</v>
      </c>
      <c r="D83" t="s">
        <v>22</v>
      </c>
      <c r="E83">
        <v>640</v>
      </c>
      <c r="F83">
        <v>4.6875</v>
      </c>
      <c r="G83">
        <v>7.65625</v>
      </c>
      <c r="H83">
        <v>2.96875</v>
      </c>
      <c r="I83">
        <v>0.46875</v>
      </c>
      <c r="J83">
        <v>5.625</v>
      </c>
      <c r="K83" t="s">
        <v>120</v>
      </c>
    </row>
    <row r="84" spans="1:11">
      <c r="A84" t="s">
        <v>27</v>
      </c>
      <c r="B84" t="s">
        <v>6</v>
      </c>
      <c r="C84" t="s">
        <v>9</v>
      </c>
      <c r="D84" t="s">
        <v>23</v>
      </c>
      <c r="E84">
        <v>640</v>
      </c>
      <c r="F84">
        <v>7.65625</v>
      </c>
      <c r="G84">
        <v>6.09375</v>
      </c>
      <c r="H84">
        <v>-1.5625</v>
      </c>
      <c r="I84">
        <v>-4.21875</v>
      </c>
      <c r="J84">
        <v>1.09375</v>
      </c>
      <c r="K84" t="s">
        <v>121</v>
      </c>
    </row>
    <row r="85" spans="1:11">
      <c r="A85" t="s">
        <v>27</v>
      </c>
      <c r="B85" t="s">
        <v>6</v>
      </c>
      <c r="C85" t="s">
        <v>9</v>
      </c>
      <c r="D85" t="s">
        <v>24</v>
      </c>
      <c r="E85">
        <v>640</v>
      </c>
      <c r="F85">
        <v>0.78125</v>
      </c>
      <c r="G85">
        <v>0.9375</v>
      </c>
      <c r="H85">
        <v>0.15625</v>
      </c>
      <c r="I85">
        <v>-0.78125</v>
      </c>
      <c r="J85">
        <v>1.09375</v>
      </c>
      <c r="K85" t="s">
        <v>122</v>
      </c>
    </row>
    <row r="86" spans="1:11">
      <c r="A86" t="s">
        <v>27</v>
      </c>
      <c r="B86" t="s">
        <v>6</v>
      </c>
      <c r="C86" t="s">
        <v>10</v>
      </c>
      <c r="D86" t="s">
        <v>19</v>
      </c>
      <c r="E86">
        <v>1319</v>
      </c>
      <c r="F86">
        <v>74.9052312357847</v>
      </c>
      <c r="G86">
        <v>84.4579226686884</v>
      </c>
      <c r="H86">
        <v>9.55269143290371</v>
      </c>
      <c r="I86">
        <v>7.42987111448067</v>
      </c>
      <c r="J86">
        <v>11.6015921152388</v>
      </c>
      <c r="K86" t="s">
        <v>123</v>
      </c>
    </row>
    <row r="87" spans="1:11">
      <c r="A87" t="s">
        <v>27</v>
      </c>
      <c r="B87" t="s">
        <v>6</v>
      </c>
      <c r="C87" t="s">
        <v>10</v>
      </c>
      <c r="D87" t="s">
        <v>20</v>
      </c>
      <c r="E87">
        <v>1319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48</v>
      </c>
    </row>
    <row r="88" spans="1:11">
      <c r="A88" t="s">
        <v>27</v>
      </c>
      <c r="B88" t="s">
        <v>6</v>
      </c>
      <c r="C88" t="s">
        <v>10</v>
      </c>
      <c r="D88" t="s">
        <v>21</v>
      </c>
      <c r="E88">
        <v>1319</v>
      </c>
      <c r="F88">
        <v>18.9537528430629</v>
      </c>
      <c r="G88">
        <v>12.5852918877938</v>
      </c>
      <c r="H88">
        <v>-6.36846095526914</v>
      </c>
      <c r="I88">
        <v>-8.41546626231994</v>
      </c>
      <c r="J88">
        <v>-4.2456406368461</v>
      </c>
      <c r="K88" t="s">
        <v>124</v>
      </c>
    </row>
    <row r="89" spans="1:11">
      <c r="A89" t="s">
        <v>27</v>
      </c>
      <c r="B89" t="s">
        <v>6</v>
      </c>
      <c r="C89" t="s">
        <v>10</v>
      </c>
      <c r="D89" t="s">
        <v>22</v>
      </c>
      <c r="E89">
        <v>1319</v>
      </c>
      <c r="F89">
        <v>2.80515542077331</v>
      </c>
      <c r="G89">
        <v>0.682335102350265</v>
      </c>
      <c r="H89">
        <v>-2.12282031842305</v>
      </c>
      <c r="I89">
        <v>-3.10841546626232</v>
      </c>
      <c r="J89">
        <v>-1.13722517058378</v>
      </c>
      <c r="K89" t="s">
        <v>125</v>
      </c>
    </row>
    <row r="90" spans="1:11">
      <c r="A90" t="s">
        <v>27</v>
      </c>
      <c r="B90" t="s">
        <v>6</v>
      </c>
      <c r="C90" t="s">
        <v>10</v>
      </c>
      <c r="D90" t="s">
        <v>23</v>
      </c>
      <c r="E90">
        <v>1319</v>
      </c>
      <c r="F90">
        <v>3.26004548900682</v>
      </c>
      <c r="G90">
        <v>2.0470053070508</v>
      </c>
      <c r="H90">
        <v>-1.21304018195603</v>
      </c>
      <c r="I90">
        <v>-2.27634571645186</v>
      </c>
      <c r="J90">
        <v>-0.151630022744503</v>
      </c>
      <c r="K90" t="s">
        <v>126</v>
      </c>
    </row>
    <row r="91" spans="1:11">
      <c r="A91" t="s">
        <v>27</v>
      </c>
      <c r="B91" t="s">
        <v>6</v>
      </c>
      <c r="C91" t="s">
        <v>10</v>
      </c>
      <c r="D91" t="s">
        <v>24</v>
      </c>
      <c r="E91">
        <v>1319</v>
      </c>
      <c r="F91">
        <v>0.0758150113722517</v>
      </c>
      <c r="G91">
        <v>0.227445034116755</v>
      </c>
      <c r="H91">
        <v>0.151630022744503</v>
      </c>
      <c r="I91">
        <v>-0.0758150113722517</v>
      </c>
      <c r="J91">
        <v>0.45489006823351</v>
      </c>
      <c r="K91" t="s">
        <v>127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4"/>
  <sheetViews>
    <sheetView workbookViewId="0">
      <selection activeCell="A1" sqref="A1"/>
    </sheetView>
  </sheetViews>
  <sheetFormatPr defaultColWidth="9" defaultRowHeight="14" outlineLevelCol="4"/>
  <cols>
    <col min="4" max="4" width="7" customWidth="1"/>
    <col min="5" max="5" width="12.8181818181818" customWidth="1"/>
  </cols>
  <sheetData>
    <row r="1" spans="1:5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 spans="1:5">
      <c r="A2" t="s">
        <v>2</v>
      </c>
      <c r="B2" t="s">
        <v>19</v>
      </c>
      <c r="C2" t="s">
        <v>19</v>
      </c>
      <c r="D2">
        <v>1542</v>
      </c>
      <c r="E2">
        <v>59.0126291618829</v>
      </c>
    </row>
    <row r="3" spans="1:5">
      <c r="A3" t="s">
        <v>2</v>
      </c>
      <c r="B3" t="s">
        <v>19</v>
      </c>
      <c r="C3" t="s">
        <v>20</v>
      </c>
      <c r="D3">
        <v>6</v>
      </c>
      <c r="E3">
        <v>0.229621125143513</v>
      </c>
    </row>
    <row r="4" spans="1:5">
      <c r="A4" t="s">
        <v>2</v>
      </c>
      <c r="B4" t="s">
        <v>19</v>
      </c>
      <c r="C4" t="s">
        <v>24</v>
      </c>
      <c r="D4">
        <v>2</v>
      </c>
      <c r="E4">
        <v>0.0765403750478377</v>
      </c>
    </row>
    <row r="5" spans="1:5">
      <c r="A5" t="s">
        <v>2</v>
      </c>
      <c r="B5" t="s">
        <v>19</v>
      </c>
      <c r="C5" t="s">
        <v>22</v>
      </c>
      <c r="D5">
        <v>16</v>
      </c>
      <c r="E5">
        <v>0.612323000382702</v>
      </c>
    </row>
    <row r="6" spans="1:5">
      <c r="A6" t="s">
        <v>2</v>
      </c>
      <c r="B6" t="s">
        <v>19</v>
      </c>
      <c r="C6" t="s">
        <v>23</v>
      </c>
      <c r="D6">
        <v>9</v>
      </c>
      <c r="E6">
        <v>0.34443168771527</v>
      </c>
    </row>
    <row r="7" spans="1:5">
      <c r="A7" t="s">
        <v>2</v>
      </c>
      <c r="B7" t="s">
        <v>19</v>
      </c>
      <c r="C7" t="s">
        <v>21</v>
      </c>
      <c r="D7">
        <v>12</v>
      </c>
      <c r="E7">
        <v>0.459242250287026</v>
      </c>
    </row>
    <row r="8" spans="1:5">
      <c r="A8" t="s">
        <v>2</v>
      </c>
      <c r="B8" t="s">
        <v>20</v>
      </c>
      <c r="C8" t="s">
        <v>19</v>
      </c>
      <c r="D8">
        <v>46</v>
      </c>
      <c r="E8">
        <v>1.76042862610027</v>
      </c>
    </row>
    <row r="9" spans="1:5">
      <c r="A9" t="s">
        <v>2</v>
      </c>
      <c r="B9" t="s">
        <v>20</v>
      </c>
      <c r="C9" t="s">
        <v>20</v>
      </c>
      <c r="D9">
        <v>34</v>
      </c>
      <c r="E9">
        <v>1.30118637581324</v>
      </c>
    </row>
    <row r="10" spans="1:5">
      <c r="A10" t="s">
        <v>2</v>
      </c>
      <c r="B10" t="s">
        <v>20</v>
      </c>
      <c r="C10" t="s">
        <v>24</v>
      </c>
      <c r="D10">
        <v>1</v>
      </c>
      <c r="E10">
        <v>0.0382701875239189</v>
      </c>
    </row>
    <row r="11" spans="1:5">
      <c r="A11" t="s">
        <v>2</v>
      </c>
      <c r="B11" t="s">
        <v>20</v>
      </c>
      <c r="C11" t="s">
        <v>22</v>
      </c>
      <c r="D11">
        <v>14</v>
      </c>
      <c r="E11">
        <v>0.535782625334864</v>
      </c>
    </row>
    <row r="12" spans="1:5">
      <c r="A12" t="s">
        <v>2</v>
      </c>
      <c r="B12" t="s">
        <v>20</v>
      </c>
      <c r="C12" t="s">
        <v>23</v>
      </c>
      <c r="D12">
        <v>5</v>
      </c>
      <c r="E12">
        <v>0.191350937619594</v>
      </c>
    </row>
    <row r="13" spans="1:5">
      <c r="A13" t="s">
        <v>2</v>
      </c>
      <c r="B13" t="s">
        <v>20</v>
      </c>
      <c r="C13" t="s">
        <v>21</v>
      </c>
      <c r="D13">
        <v>49</v>
      </c>
      <c r="E13">
        <v>1.87523918867202</v>
      </c>
    </row>
    <row r="14" spans="1:5">
      <c r="A14" t="s">
        <v>2</v>
      </c>
      <c r="B14" t="s">
        <v>24</v>
      </c>
      <c r="C14" t="s">
        <v>19</v>
      </c>
      <c r="D14">
        <v>1</v>
      </c>
      <c r="E14">
        <v>0.0382701875239189</v>
      </c>
    </row>
    <row r="15" spans="1:5">
      <c r="A15" t="s">
        <v>2</v>
      </c>
      <c r="B15" t="s">
        <v>24</v>
      </c>
      <c r="C15" t="s">
        <v>24</v>
      </c>
      <c r="D15">
        <v>3</v>
      </c>
      <c r="E15">
        <v>0.114810562571757</v>
      </c>
    </row>
    <row r="16" spans="1:5">
      <c r="A16" t="s">
        <v>2</v>
      </c>
      <c r="B16" t="s">
        <v>24</v>
      </c>
      <c r="C16" t="s">
        <v>22</v>
      </c>
      <c r="D16">
        <v>1</v>
      </c>
      <c r="E16">
        <v>0.0382701875239189</v>
      </c>
    </row>
    <row r="17" spans="1:5">
      <c r="A17" t="s">
        <v>2</v>
      </c>
      <c r="B17" t="s">
        <v>24</v>
      </c>
      <c r="C17" t="s">
        <v>23</v>
      </c>
      <c r="D17">
        <v>1</v>
      </c>
      <c r="E17">
        <v>0.0382701875239189</v>
      </c>
    </row>
    <row r="18" spans="1:5">
      <c r="A18" t="s">
        <v>2</v>
      </c>
      <c r="B18" t="s">
        <v>24</v>
      </c>
      <c r="C18" t="s">
        <v>21</v>
      </c>
      <c r="D18">
        <v>2</v>
      </c>
      <c r="E18">
        <v>0.0765403750478377</v>
      </c>
    </row>
    <row r="19" spans="1:5">
      <c r="A19" t="s">
        <v>2</v>
      </c>
      <c r="B19" t="s">
        <v>22</v>
      </c>
      <c r="C19" t="s">
        <v>19</v>
      </c>
      <c r="D19">
        <v>50</v>
      </c>
      <c r="E19">
        <v>1.91350937619594</v>
      </c>
    </row>
    <row r="20" spans="1:5">
      <c r="A20" t="s">
        <v>2</v>
      </c>
      <c r="B20" t="s">
        <v>22</v>
      </c>
      <c r="C20" t="s">
        <v>20</v>
      </c>
      <c r="D20">
        <v>8</v>
      </c>
      <c r="E20">
        <v>0.306161500191351</v>
      </c>
    </row>
    <row r="21" spans="1:5">
      <c r="A21" t="s">
        <v>2</v>
      </c>
      <c r="B21" t="s">
        <v>22</v>
      </c>
      <c r="C21" t="s">
        <v>24</v>
      </c>
      <c r="D21">
        <v>2</v>
      </c>
      <c r="E21">
        <v>0.0765403750478377</v>
      </c>
    </row>
    <row r="22" spans="1:5">
      <c r="A22" t="s">
        <v>2</v>
      </c>
      <c r="B22" t="s">
        <v>22</v>
      </c>
      <c r="C22" t="s">
        <v>22</v>
      </c>
      <c r="D22">
        <v>63</v>
      </c>
      <c r="E22">
        <v>2.41102181400689</v>
      </c>
    </row>
    <row r="23" spans="1:5">
      <c r="A23" t="s">
        <v>2</v>
      </c>
      <c r="B23" t="s">
        <v>22</v>
      </c>
      <c r="C23" t="s">
        <v>23</v>
      </c>
      <c r="D23">
        <v>6</v>
      </c>
      <c r="E23">
        <v>0.229621125143513</v>
      </c>
    </row>
    <row r="24" spans="1:5">
      <c r="A24" t="s">
        <v>2</v>
      </c>
      <c r="B24" t="s">
        <v>22</v>
      </c>
      <c r="C24" t="s">
        <v>21</v>
      </c>
      <c r="D24">
        <v>34</v>
      </c>
      <c r="E24">
        <v>1.30118637581324</v>
      </c>
    </row>
    <row r="25" spans="1:5">
      <c r="A25" t="s">
        <v>2</v>
      </c>
      <c r="B25" t="s">
        <v>23</v>
      </c>
      <c r="C25" t="s">
        <v>19</v>
      </c>
      <c r="D25">
        <v>18</v>
      </c>
      <c r="E25">
        <v>0.68886337543054</v>
      </c>
    </row>
    <row r="26" spans="1:5">
      <c r="A26" t="s">
        <v>2</v>
      </c>
      <c r="B26" t="s">
        <v>23</v>
      </c>
      <c r="C26" t="s">
        <v>20</v>
      </c>
      <c r="D26">
        <v>5</v>
      </c>
      <c r="E26">
        <v>0.191350937619594</v>
      </c>
    </row>
    <row r="27" spans="1:5">
      <c r="A27" t="s">
        <v>2</v>
      </c>
      <c r="B27" t="s">
        <v>23</v>
      </c>
      <c r="C27" t="s">
        <v>24</v>
      </c>
      <c r="D27">
        <v>2</v>
      </c>
      <c r="E27">
        <v>0.0765403750478377</v>
      </c>
    </row>
    <row r="28" spans="1:5">
      <c r="A28" t="s">
        <v>2</v>
      </c>
      <c r="B28" t="s">
        <v>23</v>
      </c>
      <c r="C28" t="s">
        <v>22</v>
      </c>
      <c r="D28">
        <v>11</v>
      </c>
      <c r="E28">
        <v>0.420972062763108</v>
      </c>
    </row>
    <row r="29" spans="1:5">
      <c r="A29" t="s">
        <v>2</v>
      </c>
      <c r="B29" t="s">
        <v>23</v>
      </c>
      <c r="C29" t="s">
        <v>23</v>
      </c>
      <c r="D29">
        <v>33</v>
      </c>
      <c r="E29">
        <v>1.26291618828932</v>
      </c>
    </row>
    <row r="30" spans="1:5">
      <c r="A30" t="s">
        <v>2</v>
      </c>
      <c r="B30" t="s">
        <v>23</v>
      </c>
      <c r="C30" t="s">
        <v>21</v>
      </c>
      <c r="D30">
        <v>19</v>
      </c>
      <c r="E30">
        <v>0.727133562954459</v>
      </c>
    </row>
    <row r="31" spans="1:5">
      <c r="A31" t="s">
        <v>2</v>
      </c>
      <c r="B31" t="s">
        <v>21</v>
      </c>
      <c r="C31" t="s">
        <v>19</v>
      </c>
      <c r="D31">
        <v>152</v>
      </c>
      <c r="E31">
        <v>5.81706850363567</v>
      </c>
    </row>
    <row r="32" spans="1:5">
      <c r="A32" t="s">
        <v>2</v>
      </c>
      <c r="B32" t="s">
        <v>21</v>
      </c>
      <c r="C32" t="s">
        <v>20</v>
      </c>
      <c r="D32">
        <v>24</v>
      </c>
      <c r="E32">
        <v>0.918484500574053</v>
      </c>
    </row>
    <row r="33" spans="1:5">
      <c r="A33" t="s">
        <v>2</v>
      </c>
      <c r="B33" t="s">
        <v>21</v>
      </c>
      <c r="C33" t="s">
        <v>24</v>
      </c>
      <c r="D33">
        <v>2</v>
      </c>
      <c r="E33">
        <v>0.0765403750478377</v>
      </c>
    </row>
    <row r="34" spans="1:5">
      <c r="A34" t="s">
        <v>2</v>
      </c>
      <c r="B34" t="s">
        <v>21</v>
      </c>
      <c r="C34" t="s">
        <v>22</v>
      </c>
      <c r="D34">
        <v>43</v>
      </c>
      <c r="E34">
        <v>1.64561806352851</v>
      </c>
    </row>
    <row r="35" spans="1:5">
      <c r="A35" t="s">
        <v>2</v>
      </c>
      <c r="B35" t="s">
        <v>21</v>
      </c>
      <c r="C35" t="s">
        <v>23</v>
      </c>
      <c r="D35">
        <v>25</v>
      </c>
      <c r="E35">
        <v>0.956754688097972</v>
      </c>
    </row>
    <row r="36" spans="1:5">
      <c r="A36" t="s">
        <v>2</v>
      </c>
      <c r="B36" t="s">
        <v>21</v>
      </c>
      <c r="C36" t="s">
        <v>21</v>
      </c>
      <c r="D36">
        <v>372</v>
      </c>
      <c r="E36">
        <v>14.2365097588978</v>
      </c>
    </row>
    <row r="37" spans="1:5">
      <c r="A37" t="s">
        <v>3</v>
      </c>
      <c r="B37" t="s">
        <v>19</v>
      </c>
      <c r="C37" t="s">
        <v>19</v>
      </c>
      <c r="D37">
        <v>1805</v>
      </c>
      <c r="E37">
        <v>69.0776884806736</v>
      </c>
    </row>
    <row r="38" spans="1:5">
      <c r="A38" t="s">
        <v>3</v>
      </c>
      <c r="B38" t="s">
        <v>19</v>
      </c>
      <c r="C38" t="s">
        <v>20</v>
      </c>
      <c r="D38">
        <v>15</v>
      </c>
      <c r="E38">
        <v>0.574052812858783</v>
      </c>
    </row>
    <row r="39" spans="1:5">
      <c r="A39" t="s">
        <v>3</v>
      </c>
      <c r="B39" t="s">
        <v>19</v>
      </c>
      <c r="C39" t="s">
        <v>24</v>
      </c>
      <c r="D39">
        <v>2</v>
      </c>
      <c r="E39">
        <v>0.0765403750478377</v>
      </c>
    </row>
    <row r="40" spans="1:5">
      <c r="A40" t="s">
        <v>3</v>
      </c>
      <c r="B40" t="s">
        <v>19</v>
      </c>
      <c r="C40" t="s">
        <v>22</v>
      </c>
      <c r="D40">
        <v>7</v>
      </c>
      <c r="E40">
        <v>0.267891312667432</v>
      </c>
    </row>
    <row r="41" spans="1:5">
      <c r="A41" t="s">
        <v>3</v>
      </c>
      <c r="B41" t="s">
        <v>19</v>
      </c>
      <c r="C41" t="s">
        <v>23</v>
      </c>
      <c r="D41">
        <v>5</v>
      </c>
      <c r="E41">
        <v>0.191350937619594</v>
      </c>
    </row>
    <row r="42" spans="1:5">
      <c r="A42" t="s">
        <v>3</v>
      </c>
      <c r="B42" t="s">
        <v>19</v>
      </c>
      <c r="C42" t="s">
        <v>21</v>
      </c>
      <c r="D42">
        <v>24</v>
      </c>
      <c r="E42">
        <v>0.918484500574053</v>
      </c>
    </row>
    <row r="43" spans="1:5">
      <c r="A43" t="s">
        <v>3</v>
      </c>
      <c r="B43" t="s">
        <v>20</v>
      </c>
      <c r="C43" t="s">
        <v>19</v>
      </c>
      <c r="D43">
        <v>118</v>
      </c>
      <c r="E43">
        <v>4.51588212782243</v>
      </c>
    </row>
    <row r="44" spans="1:5">
      <c r="A44" t="s">
        <v>3</v>
      </c>
      <c r="B44" t="s">
        <v>20</v>
      </c>
      <c r="C44" t="s">
        <v>20</v>
      </c>
      <c r="D44">
        <v>57</v>
      </c>
      <c r="E44">
        <v>2.18140068886337</v>
      </c>
    </row>
    <row r="45" spans="1:5">
      <c r="A45" t="s">
        <v>3</v>
      </c>
      <c r="B45" t="s">
        <v>20</v>
      </c>
      <c r="C45" t="s">
        <v>24</v>
      </c>
      <c r="D45">
        <v>1</v>
      </c>
      <c r="E45">
        <v>0.0382701875239189</v>
      </c>
    </row>
    <row r="46" spans="1:5">
      <c r="A46" t="s">
        <v>3</v>
      </c>
      <c r="B46" t="s">
        <v>20</v>
      </c>
      <c r="C46" t="s">
        <v>22</v>
      </c>
      <c r="D46">
        <v>1</v>
      </c>
      <c r="E46">
        <v>0.0382701875239189</v>
      </c>
    </row>
    <row r="47" spans="1:5">
      <c r="A47" t="s">
        <v>3</v>
      </c>
      <c r="B47" t="s">
        <v>20</v>
      </c>
      <c r="C47" t="s">
        <v>23</v>
      </c>
      <c r="D47">
        <v>9</v>
      </c>
      <c r="E47">
        <v>0.34443168771527</v>
      </c>
    </row>
    <row r="48" spans="1:5">
      <c r="A48" t="s">
        <v>3</v>
      </c>
      <c r="B48" t="s">
        <v>20</v>
      </c>
      <c r="C48" t="s">
        <v>21</v>
      </c>
      <c r="D48">
        <v>26</v>
      </c>
      <c r="E48">
        <v>0.995024875621891</v>
      </c>
    </row>
    <row r="49" spans="1:5">
      <c r="A49" t="s">
        <v>3</v>
      </c>
      <c r="B49" t="s">
        <v>24</v>
      </c>
      <c r="C49" t="s">
        <v>20</v>
      </c>
      <c r="D49">
        <v>1</v>
      </c>
      <c r="E49">
        <v>0.0382701875239189</v>
      </c>
    </row>
    <row r="50" spans="1:5">
      <c r="A50" t="s">
        <v>3</v>
      </c>
      <c r="B50" t="s">
        <v>24</v>
      </c>
      <c r="C50" t="s">
        <v>24</v>
      </c>
      <c r="D50">
        <v>2</v>
      </c>
      <c r="E50">
        <v>0.0765403750478377</v>
      </c>
    </row>
    <row r="51" spans="1:5">
      <c r="A51" t="s">
        <v>3</v>
      </c>
      <c r="B51" t="s">
        <v>24</v>
      </c>
      <c r="C51" t="s">
        <v>23</v>
      </c>
      <c r="D51">
        <v>1</v>
      </c>
      <c r="E51">
        <v>0.0382701875239189</v>
      </c>
    </row>
    <row r="52" spans="1:5">
      <c r="A52" t="s">
        <v>3</v>
      </c>
      <c r="B52" t="s">
        <v>24</v>
      </c>
      <c r="C52" t="s">
        <v>21</v>
      </c>
      <c r="D52">
        <v>1</v>
      </c>
      <c r="E52">
        <v>0.0382701875239189</v>
      </c>
    </row>
    <row r="53" spans="1:5">
      <c r="A53" t="s">
        <v>3</v>
      </c>
      <c r="B53" t="s">
        <v>22</v>
      </c>
      <c r="C53" t="s">
        <v>19</v>
      </c>
      <c r="D53">
        <v>9</v>
      </c>
      <c r="E53">
        <v>0.34443168771527</v>
      </c>
    </row>
    <row r="54" spans="1:5">
      <c r="A54" t="s">
        <v>3</v>
      </c>
      <c r="B54" t="s">
        <v>22</v>
      </c>
      <c r="C54" t="s">
        <v>20</v>
      </c>
      <c r="D54">
        <v>4</v>
      </c>
      <c r="E54">
        <v>0.153080750095676</v>
      </c>
    </row>
    <row r="55" spans="1:5">
      <c r="A55" t="s">
        <v>3</v>
      </c>
      <c r="B55" t="s">
        <v>22</v>
      </c>
      <c r="C55" t="s">
        <v>22</v>
      </c>
      <c r="D55">
        <v>15</v>
      </c>
      <c r="E55">
        <v>0.574052812858783</v>
      </c>
    </row>
    <row r="56" spans="1:5">
      <c r="A56" t="s">
        <v>3</v>
      </c>
      <c r="B56" t="s">
        <v>22</v>
      </c>
      <c r="C56" t="s">
        <v>23</v>
      </c>
      <c r="D56">
        <v>1</v>
      </c>
      <c r="E56">
        <v>0.0382701875239189</v>
      </c>
    </row>
    <row r="57" spans="1:5">
      <c r="A57" t="s">
        <v>3</v>
      </c>
      <c r="B57" t="s">
        <v>22</v>
      </c>
      <c r="C57" t="s">
        <v>21</v>
      </c>
      <c r="D57">
        <v>14</v>
      </c>
      <c r="E57">
        <v>0.535782625334864</v>
      </c>
    </row>
    <row r="58" spans="1:5">
      <c r="A58" t="s">
        <v>3</v>
      </c>
      <c r="B58" t="s">
        <v>23</v>
      </c>
      <c r="C58" t="s">
        <v>19</v>
      </c>
      <c r="D58">
        <v>9</v>
      </c>
      <c r="E58">
        <v>0.34443168771527</v>
      </c>
    </row>
    <row r="59" spans="1:5">
      <c r="A59" t="s">
        <v>3</v>
      </c>
      <c r="B59" t="s">
        <v>23</v>
      </c>
      <c r="C59" t="s">
        <v>20</v>
      </c>
      <c r="D59">
        <v>1</v>
      </c>
      <c r="E59">
        <v>0.0382701875239189</v>
      </c>
    </row>
    <row r="60" spans="1:5">
      <c r="A60" t="s">
        <v>3</v>
      </c>
      <c r="B60" t="s">
        <v>23</v>
      </c>
      <c r="C60" t="s">
        <v>24</v>
      </c>
      <c r="D60">
        <v>1</v>
      </c>
      <c r="E60">
        <v>0.0382701875239189</v>
      </c>
    </row>
    <row r="61" spans="1:5">
      <c r="A61" t="s">
        <v>3</v>
      </c>
      <c r="B61" t="s">
        <v>23</v>
      </c>
      <c r="C61" t="s">
        <v>22</v>
      </c>
      <c r="D61">
        <v>7</v>
      </c>
      <c r="E61">
        <v>0.267891312667432</v>
      </c>
    </row>
    <row r="62" spans="1:5">
      <c r="A62" t="s">
        <v>3</v>
      </c>
      <c r="B62" t="s">
        <v>23</v>
      </c>
      <c r="C62" t="s">
        <v>23</v>
      </c>
      <c r="D62">
        <v>19</v>
      </c>
      <c r="E62">
        <v>0.727133562954459</v>
      </c>
    </row>
    <row r="63" spans="1:5">
      <c r="A63" t="s">
        <v>3</v>
      </c>
      <c r="B63" t="s">
        <v>23</v>
      </c>
      <c r="C63" t="s">
        <v>21</v>
      </c>
      <c r="D63">
        <v>16</v>
      </c>
      <c r="E63">
        <v>0.612323000382702</v>
      </c>
    </row>
    <row r="64" spans="1:5">
      <c r="A64" t="s">
        <v>3</v>
      </c>
      <c r="B64" t="s">
        <v>21</v>
      </c>
      <c r="C64" t="s">
        <v>19</v>
      </c>
      <c r="D64">
        <v>76</v>
      </c>
      <c r="E64">
        <v>2.90853425181783</v>
      </c>
    </row>
    <row r="65" spans="1:5">
      <c r="A65" t="s">
        <v>3</v>
      </c>
      <c r="B65" t="s">
        <v>21</v>
      </c>
      <c r="C65" t="s">
        <v>20</v>
      </c>
      <c r="D65">
        <v>19</v>
      </c>
      <c r="E65">
        <v>0.727133562954459</v>
      </c>
    </row>
    <row r="66" spans="1:5">
      <c r="A66" t="s">
        <v>3</v>
      </c>
      <c r="B66" t="s">
        <v>21</v>
      </c>
      <c r="C66" t="s">
        <v>22</v>
      </c>
      <c r="D66">
        <v>14</v>
      </c>
      <c r="E66">
        <v>0.535782625334864</v>
      </c>
    </row>
    <row r="67" spans="1:5">
      <c r="A67" t="s">
        <v>3</v>
      </c>
      <c r="B67" t="s">
        <v>21</v>
      </c>
      <c r="C67" t="s">
        <v>23</v>
      </c>
      <c r="D67">
        <v>12</v>
      </c>
      <c r="E67">
        <v>0.459242250287026</v>
      </c>
    </row>
    <row r="68" spans="1:5">
      <c r="A68" t="s">
        <v>3</v>
      </c>
      <c r="B68" t="s">
        <v>21</v>
      </c>
      <c r="C68" t="s">
        <v>21</v>
      </c>
      <c r="D68">
        <v>321</v>
      </c>
      <c r="E68">
        <v>12.284730195178</v>
      </c>
    </row>
    <row r="69" spans="1:5">
      <c r="A69" t="s">
        <v>4</v>
      </c>
      <c r="B69" t="s">
        <v>19</v>
      </c>
      <c r="C69" t="s">
        <v>19</v>
      </c>
      <c r="D69">
        <v>1543</v>
      </c>
      <c r="E69">
        <v>59.0508993494068</v>
      </c>
    </row>
    <row r="70" spans="1:5">
      <c r="A70" t="s">
        <v>4</v>
      </c>
      <c r="B70" t="s">
        <v>19</v>
      </c>
      <c r="C70" t="s">
        <v>20</v>
      </c>
      <c r="D70">
        <v>8</v>
      </c>
      <c r="E70">
        <v>0.306161500191351</v>
      </c>
    </row>
    <row r="71" spans="1:5">
      <c r="A71" t="s">
        <v>4</v>
      </c>
      <c r="B71" t="s">
        <v>19</v>
      </c>
      <c r="C71" t="s">
        <v>22</v>
      </c>
      <c r="D71">
        <v>3</v>
      </c>
      <c r="E71">
        <v>0.114810562571757</v>
      </c>
    </row>
    <row r="72" spans="1:5">
      <c r="A72" t="s">
        <v>4</v>
      </c>
      <c r="B72" t="s">
        <v>19</v>
      </c>
      <c r="C72" t="s">
        <v>23</v>
      </c>
      <c r="D72">
        <v>1</v>
      </c>
      <c r="E72">
        <v>0.0382701875239189</v>
      </c>
    </row>
    <row r="73" spans="1:5">
      <c r="A73" t="s">
        <v>4</v>
      </c>
      <c r="B73" t="s">
        <v>19</v>
      </c>
      <c r="C73" t="s">
        <v>21</v>
      </c>
      <c r="D73">
        <v>21</v>
      </c>
      <c r="E73">
        <v>0.803673938002296</v>
      </c>
    </row>
    <row r="74" spans="1:5">
      <c r="A74" t="s">
        <v>4</v>
      </c>
      <c r="B74" t="s">
        <v>20</v>
      </c>
      <c r="C74" t="s">
        <v>19</v>
      </c>
      <c r="D74">
        <v>309</v>
      </c>
      <c r="E74">
        <v>11.8254879448909</v>
      </c>
    </row>
    <row r="75" spans="1:5">
      <c r="A75" t="s">
        <v>4</v>
      </c>
      <c r="B75" t="s">
        <v>20</v>
      </c>
      <c r="C75" t="s">
        <v>20</v>
      </c>
      <c r="D75">
        <v>194</v>
      </c>
      <c r="E75">
        <v>7.42441637964026</v>
      </c>
    </row>
    <row r="76" spans="1:5">
      <c r="A76" t="s">
        <v>4</v>
      </c>
      <c r="B76" t="s">
        <v>20</v>
      </c>
      <c r="C76" t="s">
        <v>22</v>
      </c>
      <c r="D76">
        <v>13</v>
      </c>
      <c r="E76">
        <v>0.497512437810945</v>
      </c>
    </row>
    <row r="77" spans="1:5">
      <c r="A77" t="s">
        <v>4</v>
      </c>
      <c r="B77" t="s">
        <v>20</v>
      </c>
      <c r="C77" t="s">
        <v>23</v>
      </c>
      <c r="D77">
        <v>14</v>
      </c>
      <c r="E77">
        <v>0.535782625334864</v>
      </c>
    </row>
    <row r="78" spans="1:5">
      <c r="A78" t="s">
        <v>4</v>
      </c>
      <c r="B78" t="s">
        <v>20</v>
      </c>
      <c r="C78" t="s">
        <v>21</v>
      </c>
      <c r="D78">
        <v>118</v>
      </c>
      <c r="E78">
        <v>4.51588212782243</v>
      </c>
    </row>
    <row r="79" spans="1:5">
      <c r="A79" t="s">
        <v>4</v>
      </c>
      <c r="B79" t="s">
        <v>22</v>
      </c>
      <c r="C79" t="s">
        <v>19</v>
      </c>
      <c r="D79">
        <v>6</v>
      </c>
      <c r="E79">
        <v>0.229621125143513</v>
      </c>
    </row>
    <row r="80" spans="1:5">
      <c r="A80" t="s">
        <v>4</v>
      </c>
      <c r="B80" t="s">
        <v>22</v>
      </c>
      <c r="C80" t="s">
        <v>20</v>
      </c>
      <c r="D80">
        <v>1</v>
      </c>
      <c r="E80">
        <v>0.0382701875239189</v>
      </c>
    </row>
    <row r="81" spans="1:5">
      <c r="A81" t="s">
        <v>4</v>
      </c>
      <c r="B81" t="s">
        <v>22</v>
      </c>
      <c r="C81" t="s">
        <v>22</v>
      </c>
      <c r="D81">
        <v>6</v>
      </c>
      <c r="E81">
        <v>0.229621125143513</v>
      </c>
    </row>
    <row r="82" spans="1:5">
      <c r="A82" t="s">
        <v>4</v>
      </c>
      <c r="B82" t="s">
        <v>22</v>
      </c>
      <c r="C82" t="s">
        <v>21</v>
      </c>
      <c r="D82">
        <v>9</v>
      </c>
      <c r="E82">
        <v>0.34443168771527</v>
      </c>
    </row>
    <row r="83" spans="1:5">
      <c r="A83" t="s">
        <v>4</v>
      </c>
      <c r="B83" t="s">
        <v>23</v>
      </c>
      <c r="C83" t="s">
        <v>19</v>
      </c>
      <c r="D83">
        <v>5</v>
      </c>
      <c r="E83">
        <v>0.191350937619594</v>
      </c>
    </row>
    <row r="84" spans="1:5">
      <c r="A84" t="s">
        <v>4</v>
      </c>
      <c r="B84" t="s">
        <v>23</v>
      </c>
      <c r="C84" t="s">
        <v>20</v>
      </c>
      <c r="D84">
        <v>4</v>
      </c>
      <c r="E84">
        <v>0.153080750095676</v>
      </c>
    </row>
    <row r="85" spans="1:5">
      <c r="A85" t="s">
        <v>4</v>
      </c>
      <c r="B85" t="s">
        <v>23</v>
      </c>
      <c r="C85" t="s">
        <v>24</v>
      </c>
      <c r="D85">
        <v>1</v>
      </c>
      <c r="E85">
        <v>0.0382701875239189</v>
      </c>
    </row>
    <row r="86" spans="1:5">
      <c r="A86" t="s">
        <v>4</v>
      </c>
      <c r="B86" t="s">
        <v>23</v>
      </c>
      <c r="C86" t="s">
        <v>23</v>
      </c>
      <c r="D86">
        <v>13</v>
      </c>
      <c r="E86">
        <v>0.497512437810945</v>
      </c>
    </row>
    <row r="87" spans="1:5">
      <c r="A87" t="s">
        <v>4</v>
      </c>
      <c r="B87" t="s">
        <v>23</v>
      </c>
      <c r="C87" t="s">
        <v>21</v>
      </c>
      <c r="D87">
        <v>5</v>
      </c>
      <c r="E87">
        <v>0.191350937619594</v>
      </c>
    </row>
    <row r="88" spans="1:5">
      <c r="A88" t="s">
        <v>4</v>
      </c>
      <c r="B88" t="s">
        <v>21</v>
      </c>
      <c r="C88" t="s">
        <v>19</v>
      </c>
      <c r="D88">
        <v>56</v>
      </c>
      <c r="E88">
        <v>2.14313050133946</v>
      </c>
    </row>
    <row r="89" spans="1:5">
      <c r="A89" t="s">
        <v>4</v>
      </c>
      <c r="B89" t="s">
        <v>21</v>
      </c>
      <c r="C89" t="s">
        <v>20</v>
      </c>
      <c r="D89">
        <v>23</v>
      </c>
      <c r="E89">
        <v>0.880214313050134</v>
      </c>
    </row>
    <row r="90" spans="1:5">
      <c r="A90" t="s">
        <v>4</v>
      </c>
      <c r="B90" t="s">
        <v>21</v>
      </c>
      <c r="C90" t="s">
        <v>24</v>
      </c>
      <c r="D90">
        <v>2</v>
      </c>
      <c r="E90">
        <v>0.0765403750478377</v>
      </c>
    </row>
    <row r="91" spans="1:5">
      <c r="A91" t="s">
        <v>4</v>
      </c>
      <c r="B91" t="s">
        <v>21</v>
      </c>
      <c r="C91" t="s">
        <v>22</v>
      </c>
      <c r="D91">
        <v>10</v>
      </c>
      <c r="E91">
        <v>0.382701875239189</v>
      </c>
    </row>
    <row r="92" spans="1:5">
      <c r="A92" t="s">
        <v>4</v>
      </c>
      <c r="B92" t="s">
        <v>21</v>
      </c>
      <c r="C92" t="s">
        <v>23</v>
      </c>
      <c r="D92">
        <v>6</v>
      </c>
      <c r="E92">
        <v>0.229621125143513</v>
      </c>
    </row>
    <row r="93" spans="1:5">
      <c r="A93" t="s">
        <v>4</v>
      </c>
      <c r="B93" t="s">
        <v>21</v>
      </c>
      <c r="C93" t="s">
        <v>21</v>
      </c>
      <c r="D93">
        <v>242</v>
      </c>
      <c r="E93">
        <v>9.26138538078837</v>
      </c>
    </row>
    <row r="94" spans="1:5">
      <c r="A94" t="s">
        <v>5</v>
      </c>
      <c r="B94" t="s">
        <v>19</v>
      </c>
      <c r="C94" t="s">
        <v>19</v>
      </c>
      <c r="D94">
        <v>1687</v>
      </c>
      <c r="E94">
        <v>64.5618063528511</v>
      </c>
    </row>
    <row r="95" spans="1:5">
      <c r="A95" t="s">
        <v>5</v>
      </c>
      <c r="B95" t="s">
        <v>19</v>
      </c>
      <c r="C95" t="s">
        <v>22</v>
      </c>
      <c r="D95">
        <v>25</v>
      </c>
      <c r="E95">
        <v>0.956754688097972</v>
      </c>
    </row>
    <row r="96" spans="1:5">
      <c r="A96" t="s">
        <v>5</v>
      </c>
      <c r="B96" t="s">
        <v>19</v>
      </c>
      <c r="C96" t="s">
        <v>23</v>
      </c>
      <c r="D96">
        <v>14</v>
      </c>
      <c r="E96">
        <v>0.535782625334864</v>
      </c>
    </row>
    <row r="97" spans="1:5">
      <c r="A97" t="s">
        <v>5</v>
      </c>
      <c r="B97" t="s">
        <v>19</v>
      </c>
      <c r="C97" t="s">
        <v>21</v>
      </c>
      <c r="D97">
        <v>84</v>
      </c>
      <c r="E97">
        <v>3.21469575200918</v>
      </c>
    </row>
    <row r="98" spans="1:5">
      <c r="A98" t="s">
        <v>5</v>
      </c>
      <c r="B98" t="s">
        <v>22</v>
      </c>
      <c r="C98" t="s">
        <v>19</v>
      </c>
      <c r="D98">
        <v>36</v>
      </c>
      <c r="E98">
        <v>1.37772675086108</v>
      </c>
    </row>
    <row r="99" spans="1:5">
      <c r="A99" t="s">
        <v>5</v>
      </c>
      <c r="B99" t="s">
        <v>22</v>
      </c>
      <c r="C99" t="s">
        <v>22</v>
      </c>
      <c r="D99">
        <v>52</v>
      </c>
      <c r="E99">
        <v>1.99004975124378</v>
      </c>
    </row>
    <row r="100" spans="1:5">
      <c r="A100" t="s">
        <v>5</v>
      </c>
      <c r="B100" t="s">
        <v>22</v>
      </c>
      <c r="C100" t="s">
        <v>23</v>
      </c>
      <c r="D100">
        <v>2</v>
      </c>
      <c r="E100">
        <v>0.0765403750478377</v>
      </c>
    </row>
    <row r="101" spans="1:5">
      <c r="A101" t="s">
        <v>5</v>
      </c>
      <c r="B101" t="s">
        <v>22</v>
      </c>
      <c r="C101" t="s">
        <v>21</v>
      </c>
      <c r="D101">
        <v>31</v>
      </c>
      <c r="E101">
        <v>1.18637581324148</v>
      </c>
    </row>
    <row r="102" spans="1:5">
      <c r="A102" t="s">
        <v>5</v>
      </c>
      <c r="B102" t="s">
        <v>23</v>
      </c>
      <c r="C102" t="s">
        <v>19</v>
      </c>
      <c r="D102">
        <v>18</v>
      </c>
      <c r="E102">
        <v>0.68886337543054</v>
      </c>
    </row>
    <row r="103" spans="1:5">
      <c r="A103" t="s">
        <v>5</v>
      </c>
      <c r="B103" t="s">
        <v>23</v>
      </c>
      <c r="C103" t="s">
        <v>22</v>
      </c>
      <c r="D103">
        <v>14</v>
      </c>
      <c r="E103">
        <v>0.535782625334864</v>
      </c>
    </row>
    <row r="104" spans="1:5">
      <c r="A104" t="s">
        <v>5</v>
      </c>
      <c r="B104" t="s">
        <v>23</v>
      </c>
      <c r="C104" t="s">
        <v>23</v>
      </c>
      <c r="D104">
        <v>34</v>
      </c>
      <c r="E104">
        <v>1.30118637581324</v>
      </c>
    </row>
    <row r="105" spans="1:5">
      <c r="A105" t="s">
        <v>5</v>
      </c>
      <c r="B105" t="s">
        <v>23</v>
      </c>
      <c r="C105" t="s">
        <v>21</v>
      </c>
      <c r="D105">
        <v>30</v>
      </c>
      <c r="E105">
        <v>1.14810562571757</v>
      </c>
    </row>
    <row r="106" spans="1:5">
      <c r="A106" t="s">
        <v>5</v>
      </c>
      <c r="B106" t="s">
        <v>21</v>
      </c>
      <c r="C106" t="s">
        <v>19</v>
      </c>
      <c r="D106">
        <v>125</v>
      </c>
      <c r="E106">
        <v>4.78377344048986</v>
      </c>
    </row>
    <row r="107" spans="1:5">
      <c r="A107" t="s">
        <v>5</v>
      </c>
      <c r="B107" t="s">
        <v>21</v>
      </c>
      <c r="C107" t="s">
        <v>22</v>
      </c>
      <c r="D107">
        <v>75</v>
      </c>
      <c r="E107">
        <v>2.87026406429391</v>
      </c>
    </row>
    <row r="108" spans="1:5">
      <c r="A108" t="s">
        <v>5</v>
      </c>
      <c r="B108" t="s">
        <v>21</v>
      </c>
      <c r="C108" t="s">
        <v>23</v>
      </c>
      <c r="D108">
        <v>26</v>
      </c>
      <c r="E108">
        <v>0.995024875621891</v>
      </c>
    </row>
    <row r="109" spans="1:5">
      <c r="A109" t="s">
        <v>5</v>
      </c>
      <c r="B109" t="s">
        <v>21</v>
      </c>
      <c r="C109" t="s">
        <v>21</v>
      </c>
      <c r="D109">
        <v>360</v>
      </c>
      <c r="E109">
        <v>13.7772675086108</v>
      </c>
    </row>
    <row r="110" spans="1:5">
      <c r="A110" t="s">
        <v>6</v>
      </c>
      <c r="B110" t="s">
        <v>19</v>
      </c>
      <c r="C110" t="s">
        <v>19</v>
      </c>
      <c r="D110">
        <v>1766</v>
      </c>
      <c r="E110">
        <v>67.5851511672407</v>
      </c>
    </row>
    <row r="111" spans="1:5">
      <c r="A111" t="s">
        <v>6</v>
      </c>
      <c r="B111" t="s">
        <v>19</v>
      </c>
      <c r="C111" t="s">
        <v>24</v>
      </c>
      <c r="D111">
        <v>2</v>
      </c>
      <c r="E111">
        <v>0.0765403750478377</v>
      </c>
    </row>
    <row r="112" spans="1:5">
      <c r="A112" t="s">
        <v>6</v>
      </c>
      <c r="B112" t="s">
        <v>19</v>
      </c>
      <c r="C112" t="s">
        <v>22</v>
      </c>
      <c r="D112">
        <v>20</v>
      </c>
      <c r="E112">
        <v>0.765403750478377</v>
      </c>
    </row>
    <row r="113" spans="1:5">
      <c r="A113" t="s">
        <v>6</v>
      </c>
      <c r="B113" t="s">
        <v>19</v>
      </c>
      <c r="C113" t="s">
        <v>23</v>
      </c>
      <c r="D113">
        <v>15</v>
      </c>
      <c r="E113">
        <v>0.574052812858783</v>
      </c>
    </row>
    <row r="114" spans="1:5">
      <c r="A114" t="s">
        <v>6</v>
      </c>
      <c r="B114" t="s">
        <v>19</v>
      </c>
      <c r="C114" t="s">
        <v>21</v>
      </c>
      <c r="D114">
        <v>113</v>
      </c>
      <c r="E114">
        <v>4.32453119020283</v>
      </c>
    </row>
    <row r="115" spans="1:5">
      <c r="A115" t="s">
        <v>6</v>
      </c>
      <c r="B115" t="s">
        <v>24</v>
      </c>
      <c r="C115" t="s">
        <v>19</v>
      </c>
      <c r="D115">
        <v>1</v>
      </c>
      <c r="E115">
        <v>0.0382701875239189</v>
      </c>
    </row>
    <row r="116" spans="1:5">
      <c r="A116" t="s">
        <v>6</v>
      </c>
      <c r="B116" t="s">
        <v>24</v>
      </c>
      <c r="C116" t="s">
        <v>24</v>
      </c>
      <c r="D116">
        <v>1</v>
      </c>
      <c r="E116">
        <v>0.0382701875239189</v>
      </c>
    </row>
    <row r="117" spans="1:5">
      <c r="A117" t="s">
        <v>6</v>
      </c>
      <c r="B117" t="s">
        <v>24</v>
      </c>
      <c r="C117" t="s">
        <v>22</v>
      </c>
      <c r="D117">
        <v>1</v>
      </c>
      <c r="E117">
        <v>0.0382701875239189</v>
      </c>
    </row>
    <row r="118" spans="1:5">
      <c r="A118" t="s">
        <v>6</v>
      </c>
      <c r="B118" t="s">
        <v>24</v>
      </c>
      <c r="C118" t="s">
        <v>23</v>
      </c>
      <c r="D118">
        <v>1</v>
      </c>
      <c r="E118">
        <v>0.0382701875239189</v>
      </c>
    </row>
    <row r="119" spans="1:5">
      <c r="A119" t="s">
        <v>6</v>
      </c>
      <c r="B119" t="s">
        <v>24</v>
      </c>
      <c r="C119" t="s">
        <v>21</v>
      </c>
      <c r="D119">
        <v>2</v>
      </c>
      <c r="E119">
        <v>0.0765403750478377</v>
      </c>
    </row>
    <row r="120" spans="1:5">
      <c r="A120" t="s">
        <v>6</v>
      </c>
      <c r="B120" t="s">
        <v>22</v>
      </c>
      <c r="C120" t="s">
        <v>19</v>
      </c>
      <c r="D120">
        <v>42</v>
      </c>
      <c r="E120">
        <v>1.60734787600459</v>
      </c>
    </row>
    <row r="121" spans="1:5">
      <c r="A121" t="s">
        <v>6</v>
      </c>
      <c r="B121" t="s">
        <v>22</v>
      </c>
      <c r="C121" t="s">
        <v>24</v>
      </c>
      <c r="D121">
        <v>2</v>
      </c>
      <c r="E121">
        <v>0.0765403750478377</v>
      </c>
    </row>
    <row r="122" spans="1:5">
      <c r="A122" t="s">
        <v>6</v>
      </c>
      <c r="B122" t="s">
        <v>22</v>
      </c>
      <c r="C122" t="s">
        <v>22</v>
      </c>
      <c r="D122">
        <v>6</v>
      </c>
      <c r="E122">
        <v>0.229621125143513</v>
      </c>
    </row>
    <row r="123" spans="1:5">
      <c r="A123" t="s">
        <v>6</v>
      </c>
      <c r="B123" t="s">
        <v>22</v>
      </c>
      <c r="C123" t="s">
        <v>23</v>
      </c>
      <c r="D123">
        <v>5</v>
      </c>
      <c r="E123">
        <v>0.191350937619594</v>
      </c>
    </row>
    <row r="124" spans="1:5">
      <c r="A124" t="s">
        <v>6</v>
      </c>
      <c r="B124" t="s">
        <v>22</v>
      </c>
      <c r="C124" t="s">
        <v>21</v>
      </c>
      <c r="D124">
        <v>21</v>
      </c>
      <c r="E124">
        <v>0.803673938002296</v>
      </c>
    </row>
    <row r="125" spans="1:5">
      <c r="A125" t="s">
        <v>6</v>
      </c>
      <c r="B125" t="s">
        <v>23</v>
      </c>
      <c r="C125" t="s">
        <v>19</v>
      </c>
      <c r="D125">
        <v>24</v>
      </c>
      <c r="E125">
        <v>0.918484500574053</v>
      </c>
    </row>
    <row r="126" spans="1:5">
      <c r="A126" t="s">
        <v>6</v>
      </c>
      <c r="B126" t="s">
        <v>23</v>
      </c>
      <c r="C126" t="s">
        <v>24</v>
      </c>
      <c r="D126">
        <v>1</v>
      </c>
      <c r="E126">
        <v>0.0382701875239189</v>
      </c>
    </row>
    <row r="127" spans="1:5">
      <c r="A127" t="s">
        <v>6</v>
      </c>
      <c r="B127" t="s">
        <v>23</v>
      </c>
      <c r="C127" t="s">
        <v>22</v>
      </c>
      <c r="D127">
        <v>4</v>
      </c>
      <c r="E127">
        <v>0.153080750095676</v>
      </c>
    </row>
    <row r="128" spans="1:5">
      <c r="A128" t="s">
        <v>6</v>
      </c>
      <c r="B128" t="s">
        <v>23</v>
      </c>
      <c r="C128" t="s">
        <v>23</v>
      </c>
      <c r="D128">
        <v>13</v>
      </c>
      <c r="E128">
        <v>0.497512437810945</v>
      </c>
    </row>
    <row r="129" spans="1:5">
      <c r="A129" t="s">
        <v>6</v>
      </c>
      <c r="B129" t="s">
        <v>23</v>
      </c>
      <c r="C129" t="s">
        <v>21</v>
      </c>
      <c r="D129">
        <v>50</v>
      </c>
      <c r="E129">
        <v>1.91350937619594</v>
      </c>
    </row>
    <row r="130" spans="1:5">
      <c r="A130" t="s">
        <v>6</v>
      </c>
      <c r="B130" t="s">
        <v>21</v>
      </c>
      <c r="C130" t="s">
        <v>19</v>
      </c>
      <c r="D130">
        <v>194</v>
      </c>
      <c r="E130">
        <v>7.42441637964026</v>
      </c>
    </row>
    <row r="131" spans="1:5">
      <c r="A131" t="s">
        <v>6</v>
      </c>
      <c r="B131" t="s">
        <v>21</v>
      </c>
      <c r="C131" t="s">
        <v>24</v>
      </c>
      <c r="D131">
        <v>3</v>
      </c>
      <c r="E131">
        <v>0.114810562571757</v>
      </c>
    </row>
    <row r="132" spans="1:5">
      <c r="A132" t="s">
        <v>6</v>
      </c>
      <c r="B132" t="s">
        <v>21</v>
      </c>
      <c r="C132" t="s">
        <v>22</v>
      </c>
      <c r="D132">
        <v>29</v>
      </c>
      <c r="E132">
        <v>1.10983543819365</v>
      </c>
    </row>
    <row r="133" spans="1:5">
      <c r="A133" t="s">
        <v>6</v>
      </c>
      <c r="B133" t="s">
        <v>21</v>
      </c>
      <c r="C133" t="s">
        <v>23</v>
      </c>
      <c r="D133">
        <v>33</v>
      </c>
      <c r="E133">
        <v>1.26291618828932</v>
      </c>
    </row>
    <row r="134" spans="1:5">
      <c r="A134" t="s">
        <v>6</v>
      </c>
      <c r="B134" t="s">
        <v>21</v>
      </c>
      <c r="C134" t="s">
        <v>21</v>
      </c>
      <c r="D134">
        <v>264</v>
      </c>
      <c r="E134">
        <v>10.1033295063146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A1" sqref="A1"/>
    </sheetView>
  </sheetViews>
  <sheetFormatPr defaultColWidth="9" defaultRowHeight="14" outlineLevelRow="5"/>
  <sheetData>
    <row r="1" spans="1:15">
      <c r="A1" s="1" t="s">
        <v>0</v>
      </c>
      <c r="B1" s="1" t="s">
        <v>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</row>
    <row r="2" spans="1:15">
      <c r="A2" t="s">
        <v>2</v>
      </c>
      <c r="B2">
        <v>2613</v>
      </c>
      <c r="C2">
        <v>1587</v>
      </c>
      <c r="D2">
        <v>1809</v>
      </c>
      <c r="E2">
        <v>222</v>
      </c>
      <c r="F2">
        <v>8.49598163030999</v>
      </c>
      <c r="G2">
        <v>267</v>
      </c>
      <c r="H2">
        <v>45</v>
      </c>
      <c r="I2">
        <v>2047</v>
      </c>
      <c r="J2">
        <v>46</v>
      </c>
      <c r="K2">
        <v>152</v>
      </c>
      <c r="L2">
        <v>50</v>
      </c>
      <c r="M2">
        <v>18</v>
      </c>
      <c r="N2">
        <v>1</v>
      </c>
      <c r="O2">
        <v>0</v>
      </c>
    </row>
    <row r="3" spans="1:15">
      <c r="A3" t="s">
        <v>3</v>
      </c>
      <c r="B3">
        <v>2613</v>
      </c>
      <c r="C3">
        <v>1858</v>
      </c>
      <c r="D3">
        <v>2017</v>
      </c>
      <c r="E3">
        <v>159</v>
      </c>
      <c r="F3">
        <v>6.08495981630309</v>
      </c>
      <c r="G3">
        <v>212</v>
      </c>
      <c r="H3">
        <v>53</v>
      </c>
      <c r="I3">
        <v>2219</v>
      </c>
      <c r="J3">
        <v>118</v>
      </c>
      <c r="K3">
        <v>76</v>
      </c>
      <c r="L3">
        <v>9</v>
      </c>
      <c r="M3">
        <v>9</v>
      </c>
      <c r="N3">
        <v>0</v>
      </c>
      <c r="O3">
        <v>0</v>
      </c>
    </row>
    <row r="4" spans="1:15">
      <c r="A4" t="s">
        <v>4</v>
      </c>
      <c r="B4">
        <v>2613</v>
      </c>
      <c r="C4">
        <v>1576</v>
      </c>
      <c r="D4">
        <v>1919</v>
      </c>
      <c r="E4">
        <v>343</v>
      </c>
      <c r="F4">
        <v>13.1266743207042</v>
      </c>
      <c r="G4">
        <v>376</v>
      </c>
      <c r="H4">
        <v>33</v>
      </c>
      <c r="I4">
        <v>1998</v>
      </c>
      <c r="J4">
        <v>309</v>
      </c>
      <c r="K4">
        <v>56</v>
      </c>
      <c r="L4">
        <v>6</v>
      </c>
      <c r="M4">
        <v>5</v>
      </c>
      <c r="N4">
        <v>0</v>
      </c>
      <c r="O4">
        <v>0</v>
      </c>
    </row>
    <row r="5" spans="1:15">
      <c r="A5" t="s">
        <v>5</v>
      </c>
      <c r="B5">
        <v>2613</v>
      </c>
      <c r="C5">
        <v>1810</v>
      </c>
      <c r="D5">
        <v>1866</v>
      </c>
      <c r="E5">
        <v>56</v>
      </c>
      <c r="F5">
        <v>2.14313050133945</v>
      </c>
      <c r="G5">
        <v>179</v>
      </c>
      <c r="H5">
        <v>123</v>
      </c>
      <c r="I5">
        <v>2133</v>
      </c>
      <c r="J5">
        <v>0</v>
      </c>
      <c r="K5">
        <v>125</v>
      </c>
      <c r="L5">
        <v>36</v>
      </c>
      <c r="M5">
        <v>18</v>
      </c>
      <c r="N5">
        <v>0</v>
      </c>
      <c r="O5">
        <v>0</v>
      </c>
    </row>
    <row r="6" spans="1:15">
      <c r="A6" t="s">
        <v>6</v>
      </c>
      <c r="B6">
        <v>2613</v>
      </c>
      <c r="C6">
        <v>1916</v>
      </c>
      <c r="D6">
        <v>2027</v>
      </c>
      <c r="E6">
        <v>111</v>
      </c>
      <c r="F6">
        <v>4.24799081515499</v>
      </c>
      <c r="G6">
        <v>261</v>
      </c>
      <c r="H6">
        <v>150</v>
      </c>
      <c r="I6">
        <v>2050</v>
      </c>
      <c r="J6">
        <v>0</v>
      </c>
      <c r="K6">
        <v>194</v>
      </c>
      <c r="L6">
        <v>42</v>
      </c>
      <c r="M6">
        <v>24</v>
      </c>
      <c r="N6">
        <v>1</v>
      </c>
      <c r="O6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4" outlineLevelCol="6"/>
  <cols>
    <col min="4" max="4" width="16.4545454545455" customWidth="1"/>
    <col min="5" max="5" width="14" customWidth="1"/>
    <col min="6" max="6" width="17.7272727272727" customWidth="1"/>
  </cols>
  <sheetData>
    <row r="1" spans="1:7">
      <c r="A1" s="1" t="s">
        <v>145</v>
      </c>
      <c r="B1" s="1" t="s">
        <v>12</v>
      </c>
      <c r="C1" s="1" t="s">
        <v>146</v>
      </c>
      <c r="D1" s="1" t="s">
        <v>13</v>
      </c>
      <c r="E1" s="1" t="s">
        <v>14</v>
      </c>
      <c r="F1" s="1" t="s">
        <v>15</v>
      </c>
      <c r="G1" s="1" t="s">
        <v>147</v>
      </c>
    </row>
    <row r="2" spans="1:7">
      <c r="A2" t="s">
        <v>148</v>
      </c>
      <c r="B2" t="s">
        <v>19</v>
      </c>
      <c r="C2">
        <v>13065</v>
      </c>
      <c r="D2">
        <v>66.9498660543437</v>
      </c>
      <c r="E2">
        <v>73.769613471106</v>
      </c>
      <c r="F2">
        <v>6.81974741676234</v>
      </c>
      <c r="G2" t="s">
        <v>149</v>
      </c>
    </row>
    <row r="3" spans="1:7">
      <c r="A3" t="s">
        <v>148</v>
      </c>
      <c r="B3" t="s">
        <v>20</v>
      </c>
      <c r="C3">
        <v>13065</v>
      </c>
      <c r="D3">
        <v>7.72292384232683</v>
      </c>
      <c r="E3">
        <v>3.09223115193264</v>
      </c>
      <c r="F3">
        <v>-4.63069269039418</v>
      </c>
      <c r="G3" t="s">
        <v>149</v>
      </c>
    </row>
    <row r="4" spans="1:7">
      <c r="A4" t="s">
        <v>148</v>
      </c>
      <c r="B4" t="s">
        <v>24</v>
      </c>
      <c r="C4">
        <v>13065</v>
      </c>
      <c r="D4">
        <v>0.145426712590892</v>
      </c>
      <c r="E4">
        <v>0.229621125143513</v>
      </c>
      <c r="F4">
        <v>0.0841944125526215</v>
      </c>
      <c r="G4" t="s">
        <v>149</v>
      </c>
    </row>
    <row r="5" spans="1:7">
      <c r="A5" t="s">
        <v>148</v>
      </c>
      <c r="B5" t="s">
        <v>25</v>
      </c>
      <c r="C5">
        <v>13065</v>
      </c>
      <c r="D5">
        <v>0</v>
      </c>
      <c r="E5">
        <v>0</v>
      </c>
      <c r="F5">
        <v>0</v>
      </c>
      <c r="G5" t="s">
        <v>149</v>
      </c>
    </row>
    <row r="6" spans="1:7">
      <c r="A6" t="s">
        <v>148</v>
      </c>
      <c r="B6" t="s">
        <v>22</v>
      </c>
      <c r="C6">
        <v>13065</v>
      </c>
      <c r="D6">
        <v>3.2529659395331</v>
      </c>
      <c r="E6">
        <v>3.4443168771527</v>
      </c>
      <c r="F6">
        <v>0.191350937619594</v>
      </c>
      <c r="G6" t="s">
        <v>149</v>
      </c>
    </row>
    <row r="7" spans="1:7">
      <c r="A7" t="s">
        <v>148</v>
      </c>
      <c r="B7" t="s">
        <v>23</v>
      </c>
      <c r="C7">
        <v>13065</v>
      </c>
      <c r="D7">
        <v>2.73249138920781</v>
      </c>
      <c r="E7">
        <v>2.31917336394948</v>
      </c>
      <c r="F7">
        <v>-0.413318025258324</v>
      </c>
      <c r="G7" t="s">
        <v>149</v>
      </c>
    </row>
    <row r="8" spans="1:7">
      <c r="A8" t="s">
        <v>148</v>
      </c>
      <c r="B8" t="s">
        <v>21</v>
      </c>
      <c r="C8">
        <v>13065</v>
      </c>
      <c r="D8">
        <v>19.1963260619977</v>
      </c>
      <c r="E8">
        <v>17.1450440107157</v>
      </c>
      <c r="F8">
        <v>-2.05128205128205</v>
      </c>
      <c r="G8" t="s">
        <v>149</v>
      </c>
    </row>
    <row r="9" spans="1:7">
      <c r="A9" t="s">
        <v>150</v>
      </c>
      <c r="B9" t="s">
        <v>19</v>
      </c>
      <c r="C9" t="s">
        <v>149</v>
      </c>
      <c r="D9">
        <v>66.9498660543437</v>
      </c>
      <c r="E9">
        <v>73.769613471106</v>
      </c>
      <c r="F9">
        <v>6.81974741676234</v>
      </c>
      <c r="G9">
        <v>5</v>
      </c>
    </row>
    <row r="10" spans="1:7">
      <c r="A10" t="s">
        <v>150</v>
      </c>
      <c r="B10" t="s">
        <v>20</v>
      </c>
      <c r="C10" t="s">
        <v>149</v>
      </c>
      <c r="D10">
        <v>7.72292384232683</v>
      </c>
      <c r="E10">
        <v>3.09223115193264</v>
      </c>
      <c r="F10">
        <v>-4.63069269039418</v>
      </c>
      <c r="G10">
        <v>5</v>
      </c>
    </row>
    <row r="11" spans="1:7">
      <c r="A11" t="s">
        <v>150</v>
      </c>
      <c r="B11" t="s">
        <v>24</v>
      </c>
      <c r="C11" t="s">
        <v>149</v>
      </c>
      <c r="D11">
        <v>0.145426712590892</v>
      </c>
      <c r="E11">
        <v>0.229621125143513</v>
      </c>
      <c r="F11">
        <v>0.0841944125526215</v>
      </c>
      <c r="G11">
        <v>5</v>
      </c>
    </row>
    <row r="12" spans="1:7">
      <c r="A12" t="s">
        <v>150</v>
      </c>
      <c r="B12" t="s">
        <v>25</v>
      </c>
      <c r="C12" t="s">
        <v>149</v>
      </c>
      <c r="D12">
        <v>0</v>
      </c>
      <c r="E12">
        <v>0</v>
      </c>
      <c r="F12">
        <v>0</v>
      </c>
      <c r="G12">
        <v>5</v>
      </c>
    </row>
    <row r="13" spans="1:7">
      <c r="A13" t="s">
        <v>150</v>
      </c>
      <c r="B13" t="s">
        <v>22</v>
      </c>
      <c r="C13" t="s">
        <v>149</v>
      </c>
      <c r="D13">
        <v>3.2529659395331</v>
      </c>
      <c r="E13">
        <v>3.4443168771527</v>
      </c>
      <c r="F13">
        <v>0.191350937619595</v>
      </c>
      <c r="G13">
        <v>5</v>
      </c>
    </row>
    <row r="14" spans="1:7">
      <c r="A14" t="s">
        <v>150</v>
      </c>
      <c r="B14" t="s">
        <v>23</v>
      </c>
      <c r="C14" t="s">
        <v>149</v>
      </c>
      <c r="D14">
        <v>2.73249138920781</v>
      </c>
      <c r="E14">
        <v>2.31917336394948</v>
      </c>
      <c r="F14">
        <v>-0.413318025258324</v>
      </c>
      <c r="G14">
        <v>5</v>
      </c>
    </row>
    <row r="15" spans="1:7">
      <c r="A15" t="s">
        <v>150</v>
      </c>
      <c r="B15" t="s">
        <v>21</v>
      </c>
      <c r="C15" t="s">
        <v>149</v>
      </c>
      <c r="D15">
        <v>19.1963260619977</v>
      </c>
      <c r="E15">
        <v>17.1450440107157</v>
      </c>
      <c r="F15">
        <v>-2.05128205128205</v>
      </c>
      <c r="G1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coverage_language</vt:lpstr>
      <vt:lpstr>coverage_lang_diff</vt:lpstr>
      <vt:lpstr>rate_by_language</vt:lpstr>
      <vt:lpstr>rate_by_lang_diff</vt:lpstr>
      <vt:lpstr>paper_language_core</vt:lpstr>
      <vt:lpstr>paper_langdiff_core</vt:lpstr>
      <vt:lpstr>transition_by_language</vt:lpstr>
      <vt:lpstr>improve_decomp_by_lang</vt:lpstr>
      <vt:lpstr>micro_macro_summary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亦南歌</cp:lastModifiedBy>
  <dcterms:created xsi:type="dcterms:W3CDTF">2026-03-04T11:55:00Z</dcterms:created>
  <dcterms:modified xsi:type="dcterms:W3CDTF">2026-03-05T13:38:27Z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01D5CC7D78134A7F94A2EC29608B620E_12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